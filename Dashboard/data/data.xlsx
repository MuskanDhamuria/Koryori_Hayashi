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mu-my.sharepoint.com/personal/muskan_d_2024_computing_smu_edu_sg/Documents/Desktop/luv/SMU/DBTT/project/"/>
    </mc:Choice>
  </mc:AlternateContent>
  <xr:revisionPtr revIDLastSave="51" documentId="13_ncr:1_{3CD9B6CE-CE2C-4D45-A656-7B87E9A9381C}" xr6:coauthVersionLast="47" xr6:coauthVersionMax="47" xr10:uidLastSave="{BFDBD9ED-EE3A-44AE-837F-CBF0A29670E5}"/>
  <bookViews>
    <workbookView xWindow="-108" yWindow="-108" windowWidth="23256" windowHeight="13896" xr2:uid="{00000000-000D-0000-FFFF-FFFF00000000}"/>
  </bookViews>
  <sheets>
    <sheet name="Koryori Hayash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6" i="1" l="1"/>
  <c r="R19" i="1"/>
  <c r="R7" i="1"/>
  <c r="R8" i="1"/>
  <c r="R9" i="1"/>
  <c r="R10" i="1"/>
  <c r="R11" i="1"/>
  <c r="R12" i="1"/>
  <c r="R13" i="1"/>
  <c r="R14" i="1"/>
  <c r="R15" i="1"/>
  <c r="R17" i="1"/>
  <c r="R18" i="1"/>
  <c r="R6" i="1"/>
</calcChain>
</file>

<file path=xl/sharedStrings.xml><?xml version="1.0" encoding="utf-8"?>
<sst xmlns="http://schemas.openxmlformats.org/spreadsheetml/2006/main" count="245" uniqueCount="199">
  <si>
    <t>version 1.0</t>
  </si>
  <si>
    <t>-</t>
  </si>
  <si>
    <t>Item</t>
  </si>
  <si>
    <t>Sales Rank  Quantity (Lunch / Dinner)</t>
  </si>
  <si>
    <t>Sales Rank Amount (Lunch / Dinner)</t>
  </si>
  <si>
    <t>Sales Summary (Cash / PayNow)</t>
  </si>
  <si>
    <t>Time (per hour)</t>
  </si>
  <si>
    <t>Orders</t>
  </si>
  <si>
    <t>Amount</t>
  </si>
  <si>
    <t>Month / Year</t>
  </si>
  <si>
    <t>Rent</t>
  </si>
  <si>
    <t>Salary</t>
  </si>
  <si>
    <t>CPF / Levy</t>
  </si>
  <si>
    <t>Supplier</t>
  </si>
  <si>
    <t>Utilities</t>
  </si>
  <si>
    <t>Season Parking</t>
  </si>
  <si>
    <t>Total Sales</t>
  </si>
  <si>
    <t>Profit / Loss</t>
  </si>
  <si>
    <t>d4.1(i) Gratuity/ Notice Pay/ Ex-gratia payment/ Others indicator &lt;Indicator is automatically prefilled when applicable after record import to digital service&gt;</t>
  </si>
  <si>
    <t>d9(ii) Appendix 8A indicator &lt;This item to be entered after record import into digital service&gt;</t>
  </si>
  <si>
    <t>Chicken Nanban Don</t>
  </si>
  <si>
    <t>Pork Shogayaki Don</t>
  </si>
  <si>
    <t>Salmon Teriyaki Don</t>
  </si>
  <si>
    <t>Salmon Belly Teriyaki Don</t>
  </si>
  <si>
    <t>Chicken Teriyaki Don</t>
  </si>
  <si>
    <t>Una Don</t>
  </si>
  <si>
    <t>Unatama Don</t>
  </si>
  <si>
    <t>Pork Katsu Curry Rice</t>
  </si>
  <si>
    <t>Chicken Katsu Curry Rice</t>
  </si>
  <si>
    <t>Aburi Salmon Mentai Mini Don</t>
  </si>
  <si>
    <t>Aburi Salmon Mentai Mini Don (Upsize)</t>
  </si>
  <si>
    <t>Bara Chirashi Mini Don</t>
  </si>
  <si>
    <t>Bara Chirashi  Mini Don (Upsize)</t>
  </si>
  <si>
    <t>Salmon Ikura Mini Don</t>
  </si>
  <si>
    <t>Salmon Ikura Mini Don (Upsize)</t>
  </si>
  <si>
    <t>Salmon Chilli Mini Don</t>
  </si>
  <si>
    <t>Salmon Chilli Mini Don (Upsize)</t>
  </si>
  <si>
    <t>Prawn Mentaiko Pasta</t>
  </si>
  <si>
    <t>Sukiyaki Beef Udon</t>
  </si>
  <si>
    <t>Kitsune Udon</t>
  </si>
  <si>
    <t>Pork Katsu Curry Udon</t>
  </si>
  <si>
    <t>Chicken Katsu Curry Udon</t>
  </si>
  <si>
    <t>Cream Crab Croquette</t>
  </si>
  <si>
    <t>Geso Karaage</t>
  </si>
  <si>
    <t>Maitake Tempura</t>
  </si>
  <si>
    <t>Amaebi Tempura</t>
  </si>
  <si>
    <t>Aji Fry</t>
  </si>
  <si>
    <t>Kaki Fry (1 pc)</t>
  </si>
  <si>
    <t>Kaki Fry (2 pc)</t>
  </si>
  <si>
    <t>Seafood Ajillo</t>
  </si>
  <si>
    <t>Ikura Tamagoyaki</t>
  </si>
  <si>
    <t>Aburi Mentai Tamagoyaki</t>
  </si>
  <si>
    <t>Potato Salad</t>
  </si>
  <si>
    <t>Salmon Sashimi</t>
  </si>
  <si>
    <t>Swordfish Sashimi</t>
  </si>
  <si>
    <t>Chuka Wakame</t>
  </si>
  <si>
    <t>Chuka Kurage</t>
  </si>
  <si>
    <t>Tako Wasabi</t>
  </si>
  <si>
    <t>Octopus</t>
  </si>
  <si>
    <t>Mala Clam</t>
  </si>
  <si>
    <t>SOFT DRINK</t>
  </si>
  <si>
    <t>BOTTLE DRINK</t>
  </si>
  <si>
    <t>KORYORI EXCLUSIVE</t>
  </si>
  <si>
    <t>SPARKLING YUZU</t>
  </si>
  <si>
    <t>HOT TEA</t>
  </si>
  <si>
    <t>HOT WATER</t>
  </si>
  <si>
    <t>ICE WATER</t>
  </si>
  <si>
    <t>ALCOHOL</t>
  </si>
  <si>
    <t>BEER</t>
  </si>
  <si>
    <t>SAKE</t>
  </si>
  <si>
    <t>COCKTAIL</t>
  </si>
  <si>
    <t>Dorayaki</t>
  </si>
  <si>
    <t>Black Sesame</t>
  </si>
  <si>
    <t>Chocolate</t>
  </si>
  <si>
    <t>Houjicha</t>
  </si>
  <si>
    <t>Hokkaido Melon</t>
  </si>
  <si>
    <t>Jersey Milk</t>
  </si>
  <si>
    <t>Matcha</t>
  </si>
  <si>
    <t>Yuzu</t>
  </si>
  <si>
    <t>Chicken Nanban</t>
  </si>
  <si>
    <t>Pork Shogayaki</t>
  </si>
  <si>
    <t>Salmon Teriyaki</t>
  </si>
  <si>
    <t>Chicken Teriyaki</t>
  </si>
  <si>
    <t>Unagi</t>
  </si>
  <si>
    <t>Pork Katsu</t>
  </si>
  <si>
    <t>Chicken Katsu</t>
  </si>
  <si>
    <t>Rice</t>
  </si>
  <si>
    <t>Onsen Egg</t>
  </si>
  <si>
    <t>Ajitama</t>
  </si>
  <si>
    <t>Sunny side</t>
  </si>
  <si>
    <t>Omelette</t>
  </si>
  <si>
    <t>Kake Udon</t>
  </si>
  <si>
    <t>Curry</t>
  </si>
  <si>
    <t>Egg Drop Soup</t>
  </si>
  <si>
    <t>2</t>
  </si>
  <si>
    <t>420</t>
  </si>
  <si>
    <t>1</t>
  </si>
  <si>
    <t>450</t>
  </si>
  <si>
    <t>3</t>
  </si>
  <si>
    <t>400</t>
  </si>
  <si>
    <t>4</t>
  </si>
  <si>
    <t>380</t>
  </si>
  <si>
    <t>5</t>
  </si>
  <si>
    <t>360</t>
  </si>
  <si>
    <t>6</t>
  </si>
  <si>
    <t>340</t>
  </si>
  <si>
    <t>7</t>
  </si>
  <si>
    <t>320</t>
  </si>
  <si>
    <t>8</t>
  </si>
  <si>
    <t>300</t>
  </si>
  <si>
    <t>9</t>
  </si>
  <si>
    <t>280</t>
  </si>
  <si>
    <t>10</t>
  </si>
  <si>
    <t>260</t>
  </si>
  <si>
    <t>11</t>
  </si>
  <si>
    <t>240</t>
  </si>
  <si>
    <t>12</t>
  </si>
  <si>
    <t>220</t>
  </si>
  <si>
    <t>13</t>
  </si>
  <si>
    <t>210</t>
  </si>
  <si>
    <t>14</t>
  </si>
  <si>
    <t>200</t>
  </si>
  <si>
    <t>15</t>
  </si>
  <si>
    <t>190</t>
  </si>
  <si>
    <t>16</t>
  </si>
  <si>
    <t>180</t>
  </si>
  <si>
    <t>17</t>
  </si>
  <si>
    <t>170</t>
  </si>
  <si>
    <t>18</t>
  </si>
  <si>
    <t>160</t>
  </si>
  <si>
    <t>19</t>
  </si>
  <si>
    <t>150</t>
  </si>
  <si>
    <t>20</t>
  </si>
  <si>
    <t>140</t>
  </si>
  <si>
    <t>21</t>
  </si>
  <si>
    <t>130</t>
  </si>
  <si>
    <t>22</t>
  </si>
  <si>
    <t>120</t>
  </si>
  <si>
    <t>23</t>
  </si>
  <si>
    <t>115</t>
  </si>
  <si>
    <t>24</t>
  </si>
  <si>
    <t>110</t>
  </si>
  <si>
    <t>25</t>
  </si>
  <si>
    <t>105</t>
  </si>
  <si>
    <t>26</t>
  </si>
  <si>
    <t>100</t>
  </si>
  <si>
    <t>27</t>
  </si>
  <si>
    <t>95</t>
  </si>
  <si>
    <t>28</t>
  </si>
  <si>
    <t>90</t>
  </si>
  <si>
    <t>29</t>
  </si>
  <si>
    <t>85</t>
  </si>
  <si>
    <t>30</t>
  </si>
  <si>
    <t>80</t>
  </si>
  <si>
    <t>31</t>
  </si>
  <si>
    <t>75</t>
  </si>
  <si>
    <t>32</t>
  </si>
  <si>
    <t>70</t>
  </si>
  <si>
    <t>33</t>
  </si>
  <si>
    <t>68</t>
  </si>
  <si>
    <t>34</t>
  </si>
  <si>
    <t>66</t>
  </si>
  <si>
    <t>35</t>
  </si>
  <si>
    <t>64</t>
  </si>
  <si>
    <t>36</t>
  </si>
  <si>
    <t>62</t>
  </si>
  <si>
    <t>37</t>
  </si>
  <si>
    <t>60</t>
  </si>
  <si>
    <t>38</t>
  </si>
  <si>
    <t>58</t>
  </si>
  <si>
    <t>39</t>
  </si>
  <si>
    <t>56</t>
  </si>
  <si>
    <t>40</t>
  </si>
  <si>
    <t>54</t>
  </si>
  <si>
    <t>41</t>
  </si>
  <si>
    <t>52</t>
  </si>
  <si>
    <t>42</t>
  </si>
  <si>
    <t>50</t>
  </si>
  <si>
    <t>43</t>
  </si>
  <si>
    <t>48</t>
  </si>
  <si>
    <t>44</t>
  </si>
  <si>
    <t>46</t>
  </si>
  <si>
    <t>45</t>
  </si>
  <si>
    <t>47</t>
  </si>
  <si>
    <t>49</t>
  </si>
  <si>
    <t>51</t>
  </si>
  <si>
    <t>53</t>
  </si>
  <si>
    <t>55</t>
  </si>
  <si>
    <t>57</t>
  </si>
  <si>
    <t>59</t>
  </si>
  <si>
    <t>61</t>
  </si>
  <si>
    <t>63</t>
  </si>
  <si>
    <t>65</t>
  </si>
  <si>
    <t>67</t>
  </si>
  <si>
    <t>69</t>
  </si>
  <si>
    <t>71</t>
  </si>
  <si>
    <t>72</t>
  </si>
  <si>
    <t>73</t>
  </si>
  <si>
    <t>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</si>
</sst>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quot;-&quot;mm&quot;-&quot;dd"/>
    <numFmt numFmtId="167" formatCode="[$-F400]h:mm:ss\ am/pm"/>
  </numFmts>
  <fonts count="4" x14ac:knownFonts="1">
    <font>
      <sz val="11"/>
      <color indexed="8"/>
      <name val="Calibri"/>
    </font>
    <font>
      <sz val="11"/>
      <color indexed="14"/>
      <name val="Calibri"/>
      <family val="2"/>
    </font>
    <font>
      <b/>
      <sz val="11"/>
      <color indexed="12"/>
      <name val="Calibri"/>
      <family val="2"/>
    </font>
    <font>
      <sz val="11"/>
      <color indexed="8"/>
      <name val="Calibri"/>
      <family val="2"/>
    </font>
  </fonts>
  <fills count="7">
    <fill>
      <patternFill patternType="none"/>
    </fill>
    <fill>
      <patternFill patternType="gray125"/>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theme="4" tint="0.79998168889431442"/>
        <bgColor indexed="64"/>
      </patternFill>
    </fill>
    <fill>
      <patternFill patternType="solid">
        <fgColor theme="0"/>
        <bgColor indexed="64"/>
      </patternFill>
    </fill>
  </fills>
  <borders count="13">
    <border>
      <left/>
      <right/>
      <top/>
      <bottom/>
      <diagonal/>
    </border>
    <border>
      <left style="thin">
        <color indexed="13"/>
      </left>
      <right/>
      <top style="thin">
        <color indexed="8"/>
      </top>
      <bottom style="thin">
        <color indexed="8"/>
      </bottom>
      <diagonal/>
    </border>
    <border>
      <left/>
      <right/>
      <top style="thin">
        <color indexed="8"/>
      </top>
      <bottom style="thin">
        <color indexed="8"/>
      </bottom>
      <diagonal/>
    </border>
    <border>
      <left/>
      <right style="thin">
        <color indexed="13"/>
      </right>
      <top style="thin">
        <color indexed="8"/>
      </top>
      <bottom style="thin">
        <color indexed="8"/>
      </bottom>
      <diagonal/>
    </border>
    <border>
      <left style="thin">
        <color indexed="13"/>
      </left>
      <right style="thin">
        <color indexed="13"/>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style="thin">
        <color indexed="8"/>
      </top>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64"/>
      </bottom>
      <diagonal/>
    </border>
  </borders>
  <cellStyleXfs count="1">
    <xf numFmtId="0" fontId="0" fillId="0" borderId="0"/>
  </cellStyleXfs>
  <cellXfs count="45">
    <xf numFmtId="0" fontId="0" fillId="0" borderId="0" xfId="0"/>
    <xf numFmtId="49" fontId="0" fillId="2" borderId="1" xfId="0" applyNumberFormat="1" applyFill="1" applyBorder="1"/>
    <xf numFmtId="0" fontId="0" fillId="0" borderId="2" xfId="0" applyBorder="1"/>
    <xf numFmtId="0" fontId="0" fillId="2" borderId="2" xfId="0" applyFill="1" applyBorder="1"/>
    <xf numFmtId="0" fontId="0" fillId="2" borderId="3" xfId="0" applyFill="1" applyBorder="1"/>
    <xf numFmtId="0" fontId="0" fillId="0" borderId="4" xfId="0" applyBorder="1"/>
    <xf numFmtId="164" fontId="0" fillId="2" borderId="2" xfId="0" applyNumberFormat="1" applyFill="1" applyBorder="1"/>
    <xf numFmtId="1" fontId="0" fillId="2" borderId="2" xfId="0" applyNumberFormat="1" applyFill="1" applyBorder="1"/>
    <xf numFmtId="164" fontId="0" fillId="2" borderId="3" xfId="0" applyNumberFormat="1" applyFill="1" applyBorder="1"/>
    <xf numFmtId="49" fontId="1" fillId="3" borderId="5" xfId="0" applyNumberFormat="1" applyFont="1" applyFill="1" applyBorder="1" applyAlignment="1">
      <alignment horizontal="center" vertical="center" wrapText="1"/>
    </xf>
    <xf numFmtId="49" fontId="0" fillId="3" borderId="5" xfId="0" applyNumberFormat="1" applyFill="1" applyBorder="1" applyAlignment="1">
      <alignment vertical="center" wrapText="1"/>
    </xf>
    <xf numFmtId="49" fontId="2" fillId="3" borderId="5" xfId="0" applyNumberFormat="1" applyFont="1" applyFill="1" applyBorder="1" applyAlignment="1">
      <alignment horizontal="center" vertical="center" wrapText="1"/>
    </xf>
    <xf numFmtId="49" fontId="2" fillId="4" borderId="5" xfId="0" applyNumberFormat="1" applyFont="1" applyFill="1" applyBorder="1" applyAlignment="1">
      <alignment horizontal="center" vertical="center" wrapText="1"/>
    </xf>
    <xf numFmtId="49" fontId="0" fillId="5" borderId="5" xfId="0" applyNumberFormat="1" applyFill="1" applyBorder="1"/>
    <xf numFmtId="0" fontId="0" fillId="5" borderId="5" xfId="0" applyFill="1" applyBorder="1"/>
    <xf numFmtId="2" fontId="0" fillId="5" borderId="5" xfId="0" applyNumberFormat="1" applyFill="1" applyBorder="1"/>
    <xf numFmtId="0" fontId="0" fillId="6" borderId="0" xfId="0" applyFill="1"/>
    <xf numFmtId="49" fontId="1" fillId="6" borderId="0" xfId="0" applyNumberFormat="1" applyFont="1" applyFill="1" applyAlignment="1">
      <alignment horizontal="center" vertical="center" wrapText="1"/>
    </xf>
    <xf numFmtId="49" fontId="0" fillId="6" borderId="0" xfId="0" applyNumberFormat="1" applyFill="1" applyAlignment="1">
      <alignment wrapText="1"/>
    </xf>
    <xf numFmtId="49" fontId="2" fillId="3" borderId="6" xfId="0" applyNumberFormat="1" applyFont="1" applyFill="1" applyBorder="1" applyAlignment="1">
      <alignment horizontal="center" vertical="center" wrapText="1"/>
    </xf>
    <xf numFmtId="49" fontId="2" fillId="6" borderId="0" xfId="0" applyNumberFormat="1" applyFont="1" applyFill="1" applyAlignment="1">
      <alignment horizontal="center" vertical="center" wrapText="1"/>
    </xf>
    <xf numFmtId="2" fontId="0" fillId="6" borderId="0" xfId="0" applyNumberFormat="1" applyFill="1"/>
    <xf numFmtId="164" fontId="0" fillId="2" borderId="8" xfId="0" applyNumberFormat="1" applyFill="1" applyBorder="1"/>
    <xf numFmtId="0" fontId="0" fillId="0" borderId="8" xfId="0" applyBorder="1"/>
    <xf numFmtId="49" fontId="1" fillId="3" borderId="7" xfId="0" applyNumberFormat="1" applyFont="1" applyFill="1" applyBorder="1" applyAlignment="1">
      <alignment horizontal="center" vertical="center" wrapText="1"/>
    </xf>
    <xf numFmtId="49" fontId="2" fillId="3" borderId="7" xfId="0" applyNumberFormat="1" applyFont="1" applyFill="1" applyBorder="1" applyAlignment="1">
      <alignment horizontal="center" vertical="center" wrapText="1"/>
    </xf>
    <xf numFmtId="0" fontId="0" fillId="5" borderId="7" xfId="0" applyFill="1" applyBorder="1" applyAlignment="1">
      <alignment wrapText="1"/>
    </xf>
    <xf numFmtId="2" fontId="0" fillId="5" borderId="7" xfId="0" applyNumberFormat="1" applyFill="1" applyBorder="1"/>
    <xf numFmtId="2" fontId="0" fillId="5" borderId="6" xfId="0" applyNumberFormat="1" applyFill="1" applyBorder="1"/>
    <xf numFmtId="167" fontId="3" fillId="5" borderId="7" xfId="0" applyNumberFormat="1" applyFont="1" applyFill="1" applyBorder="1"/>
    <xf numFmtId="167" fontId="0" fillId="5" borderId="7" xfId="0" applyNumberFormat="1" applyFill="1" applyBorder="1"/>
    <xf numFmtId="0" fontId="0" fillId="0" borderId="0" xfId="0" applyBorder="1"/>
    <xf numFmtId="167" fontId="0" fillId="6" borderId="0" xfId="0" applyNumberFormat="1" applyFill="1" applyBorder="1"/>
    <xf numFmtId="0" fontId="0" fillId="6" borderId="0" xfId="0" applyFill="1" applyBorder="1" applyAlignment="1">
      <alignment wrapText="1"/>
    </xf>
    <xf numFmtId="2" fontId="0" fillId="6" borderId="0" xfId="0" applyNumberFormat="1" applyFill="1" applyBorder="1"/>
    <xf numFmtId="0" fontId="0" fillId="6" borderId="0" xfId="0" applyFill="1" applyBorder="1"/>
    <xf numFmtId="17" fontId="0" fillId="5" borderId="7" xfId="0" applyNumberFormat="1" applyFill="1" applyBorder="1"/>
    <xf numFmtId="0" fontId="0" fillId="5" borderId="6" xfId="0" applyFill="1" applyBorder="1"/>
    <xf numFmtId="17" fontId="0" fillId="6" borderId="0" xfId="0" applyNumberFormat="1" applyFill="1" applyBorder="1"/>
    <xf numFmtId="2" fontId="0" fillId="5" borderId="9" xfId="0" applyNumberFormat="1" applyFill="1" applyBorder="1"/>
    <xf numFmtId="2" fontId="0" fillId="5" borderId="10" xfId="0" applyNumberFormat="1" applyFill="1" applyBorder="1"/>
    <xf numFmtId="49" fontId="3" fillId="5" borderId="5" xfId="0" applyNumberFormat="1" applyFont="1" applyFill="1" applyBorder="1"/>
    <xf numFmtId="49" fontId="1" fillId="3" borderId="11" xfId="0" applyNumberFormat="1" applyFont="1" applyFill="1" applyBorder="1" applyAlignment="1">
      <alignment horizontal="center" vertical="center" wrapText="1"/>
    </xf>
    <xf numFmtId="49" fontId="0" fillId="5" borderId="11" xfId="0" applyNumberFormat="1" applyFill="1" applyBorder="1" applyAlignment="1">
      <alignment wrapText="1"/>
    </xf>
    <xf numFmtId="49" fontId="0" fillId="5" borderId="12" xfId="0" applyNumberFormat="1" applyFill="1" applyBorder="1" applyAlignment="1">
      <alignment wrapText="1"/>
    </xf>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FF0000"/>
      <rgbColor rgb="FF70AD47"/>
      <rgbColor rgb="FF44749F"/>
      <rgbColor rgb="FFDEEAF6"/>
      <rgbColor rgb="FF595959"/>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0"/>
  <sheetViews>
    <sheetView showGridLines="0" tabSelected="1" topLeftCell="A5" zoomScale="40" zoomScaleNormal="90" workbookViewId="0">
      <selection activeCell="R17" sqref="R17"/>
    </sheetView>
  </sheetViews>
  <sheetFormatPr defaultColWidth="9.21875" defaultRowHeight="15" customHeight="1" x14ac:dyDescent="0.3"/>
  <cols>
    <col min="1" max="1" width="41.77734375" customWidth="1"/>
    <col min="2" max="2" width="13.44140625" customWidth="1"/>
    <col min="3" max="3" width="16.88671875" customWidth="1"/>
    <col min="4" max="4" width="42.44140625" customWidth="1"/>
    <col min="5" max="5" width="42.44140625" style="16" customWidth="1"/>
    <col min="6" max="6" width="16.44140625" customWidth="1"/>
    <col min="7" max="7" width="38.88671875" customWidth="1"/>
    <col min="8" max="8" width="19.88671875" customWidth="1"/>
    <col min="9" max="9" width="19.88671875" style="16" customWidth="1"/>
    <col min="10" max="10" width="22.21875" customWidth="1"/>
    <col min="11" max="11" width="21.44140625" customWidth="1"/>
    <col min="12" max="12" width="25.44140625" customWidth="1"/>
    <col min="13" max="13" width="23.44140625" customWidth="1"/>
    <col min="14" max="14" width="18.44140625" customWidth="1"/>
    <col min="15" max="15" width="16.44140625" customWidth="1"/>
    <col min="16" max="16" width="19.88671875" customWidth="1"/>
    <col min="17" max="17" width="19.44140625" customWidth="1"/>
    <col min="18" max="18" width="22.88671875" customWidth="1"/>
    <col min="19" max="20" width="9.109375" hidden="1" customWidth="1"/>
    <col min="21" max="22" width="9.21875" customWidth="1"/>
  </cols>
  <sheetData>
    <row r="1" spans="1:20" ht="9" hidden="1" customHeight="1" x14ac:dyDescent="0.3">
      <c r="A1" s="1" t="s">
        <v>0</v>
      </c>
      <c r="B1" s="2"/>
      <c r="C1" s="2"/>
      <c r="D1" s="2"/>
      <c r="F1" s="3"/>
      <c r="G1" s="2"/>
      <c r="H1" s="2"/>
      <c r="J1" s="2"/>
      <c r="K1" s="3"/>
      <c r="L1" s="3"/>
      <c r="M1" s="2"/>
      <c r="N1" s="3"/>
      <c r="O1" s="3"/>
      <c r="P1" s="3"/>
      <c r="Q1" s="3"/>
      <c r="R1" s="4"/>
      <c r="S1" s="5"/>
      <c r="T1" s="5"/>
    </row>
    <row r="2" spans="1:20" ht="9" hidden="1" customHeight="1" x14ac:dyDescent="0.3">
      <c r="A2" s="1" t="s">
        <v>1</v>
      </c>
      <c r="B2" s="2"/>
      <c r="C2" s="2"/>
      <c r="D2" s="2"/>
      <c r="F2" s="3"/>
      <c r="G2" s="2"/>
      <c r="H2" s="2"/>
      <c r="J2" s="2"/>
      <c r="K2" s="3"/>
      <c r="L2" s="3"/>
      <c r="M2" s="2"/>
      <c r="N2" s="3"/>
      <c r="O2" s="3"/>
      <c r="P2" s="3"/>
      <c r="Q2" s="3"/>
      <c r="R2" s="4"/>
      <c r="S2" s="5"/>
      <c r="T2" s="5"/>
    </row>
    <row r="3" spans="1:20" ht="9" hidden="1" customHeight="1" x14ac:dyDescent="0.3">
      <c r="A3" s="1" t="s">
        <v>1</v>
      </c>
      <c r="B3" s="2"/>
      <c r="C3" s="2"/>
      <c r="D3" s="2"/>
      <c r="F3" s="3"/>
      <c r="G3" s="2"/>
      <c r="H3" s="2"/>
      <c r="J3" s="2"/>
      <c r="K3" s="3"/>
      <c r="L3" s="3"/>
      <c r="M3" s="2"/>
      <c r="N3" s="3"/>
      <c r="O3" s="3"/>
      <c r="P3" s="3"/>
      <c r="Q3" s="3"/>
      <c r="R3" s="4"/>
      <c r="S3" s="5"/>
      <c r="T3" s="5"/>
    </row>
    <row r="4" spans="1:20" ht="9" hidden="1" customHeight="1" x14ac:dyDescent="0.3">
      <c r="A4" s="1" t="s">
        <v>1</v>
      </c>
      <c r="B4" s="2"/>
      <c r="C4" s="2"/>
      <c r="D4" s="2"/>
      <c r="F4" s="22"/>
      <c r="G4" s="23"/>
      <c r="H4" s="23"/>
      <c r="J4" s="23"/>
      <c r="K4" s="22"/>
      <c r="L4" s="6"/>
      <c r="M4" s="2"/>
      <c r="N4" s="7"/>
      <c r="O4" s="7"/>
      <c r="P4" s="6"/>
      <c r="Q4" s="7"/>
      <c r="R4" s="8"/>
      <c r="S4" s="5"/>
      <c r="T4" s="5"/>
    </row>
    <row r="5" spans="1:20" ht="66" customHeight="1" x14ac:dyDescent="0.3">
      <c r="A5" s="9" t="s">
        <v>2</v>
      </c>
      <c r="B5" s="10" t="s">
        <v>3</v>
      </c>
      <c r="C5" s="10" t="s">
        <v>4</v>
      </c>
      <c r="D5" s="42" t="s">
        <v>5</v>
      </c>
      <c r="E5" s="17"/>
      <c r="F5" s="24" t="s">
        <v>6</v>
      </c>
      <c r="G5" s="25" t="s">
        <v>7</v>
      </c>
      <c r="H5" s="25" t="s">
        <v>8</v>
      </c>
      <c r="I5" s="20"/>
      <c r="J5" s="25" t="s">
        <v>9</v>
      </c>
      <c r="K5" s="25" t="s">
        <v>10</v>
      </c>
      <c r="L5" s="19" t="s">
        <v>11</v>
      </c>
      <c r="M5" s="11" t="s">
        <v>12</v>
      </c>
      <c r="N5" s="12" t="s">
        <v>13</v>
      </c>
      <c r="O5" s="12" t="s">
        <v>14</v>
      </c>
      <c r="P5" s="12" t="s">
        <v>15</v>
      </c>
      <c r="Q5" s="12" t="s">
        <v>16</v>
      </c>
      <c r="R5" s="12" t="s">
        <v>17</v>
      </c>
      <c r="S5" s="12" t="s">
        <v>18</v>
      </c>
      <c r="T5" s="12" t="s">
        <v>19</v>
      </c>
    </row>
    <row r="6" spans="1:20" ht="13.5" customHeight="1" x14ac:dyDescent="0.3">
      <c r="A6" s="13" t="s">
        <v>20</v>
      </c>
      <c r="B6" s="14">
        <v>1</v>
      </c>
      <c r="C6" s="13" t="s">
        <v>94</v>
      </c>
      <c r="D6" s="43" t="s">
        <v>95</v>
      </c>
      <c r="E6" s="18"/>
      <c r="F6" s="29">
        <v>0.45833333333333331</v>
      </c>
      <c r="G6" s="26">
        <v>12</v>
      </c>
      <c r="H6" s="27">
        <v>149.27000000000001</v>
      </c>
      <c r="I6" s="21"/>
      <c r="J6" s="36">
        <v>45658</v>
      </c>
      <c r="K6" s="27">
        <v>519.54999999999995</v>
      </c>
      <c r="L6" s="28">
        <v>1332.61</v>
      </c>
      <c r="M6" s="15">
        <v>225.96</v>
      </c>
      <c r="N6" s="15">
        <v>1089.32</v>
      </c>
      <c r="O6" s="15">
        <v>106.89</v>
      </c>
      <c r="P6" s="15">
        <v>18.07</v>
      </c>
      <c r="Q6" s="15">
        <v>3404</v>
      </c>
      <c r="R6" s="15">
        <f>Q6-P6-O6-N6-M6-L6-K6</f>
        <v>111.60000000000036</v>
      </c>
      <c r="S6" s="14"/>
      <c r="T6" s="14"/>
    </row>
    <row r="7" spans="1:20" ht="13.5" customHeight="1" x14ac:dyDescent="0.3">
      <c r="A7" s="13" t="s">
        <v>21</v>
      </c>
      <c r="B7" s="14">
        <v>2</v>
      </c>
      <c r="C7" s="13" t="s">
        <v>96</v>
      </c>
      <c r="D7" s="43" t="s">
        <v>97</v>
      </c>
      <c r="E7" s="18"/>
      <c r="F7" s="29">
        <v>0.5</v>
      </c>
      <c r="G7" s="26">
        <v>11</v>
      </c>
      <c r="H7" s="27">
        <v>138.33000000000001</v>
      </c>
      <c r="I7" s="21"/>
      <c r="J7" s="36">
        <v>45689</v>
      </c>
      <c r="K7" s="27">
        <v>331.75</v>
      </c>
      <c r="L7" s="28">
        <v>836.33</v>
      </c>
      <c r="M7" s="15">
        <v>141.81</v>
      </c>
      <c r="N7" s="15">
        <v>695.58</v>
      </c>
      <c r="O7" s="15">
        <v>67.95</v>
      </c>
      <c r="P7" s="15">
        <v>11.54</v>
      </c>
      <c r="Q7" s="15">
        <v>2173.6</v>
      </c>
      <c r="R7" s="15">
        <f t="shared" ref="R7:R19" si="0">Q7-P7-O7-N7-M7-L7-K7</f>
        <v>88.640000000000214</v>
      </c>
      <c r="S7" s="14"/>
      <c r="T7" s="14"/>
    </row>
    <row r="8" spans="1:20" ht="13.5" customHeight="1" x14ac:dyDescent="0.3">
      <c r="A8" s="13" t="s">
        <v>22</v>
      </c>
      <c r="B8" s="14">
        <v>3</v>
      </c>
      <c r="C8" s="13" t="s">
        <v>98</v>
      </c>
      <c r="D8" s="43" t="s">
        <v>99</v>
      </c>
      <c r="E8" s="18"/>
      <c r="F8" s="29">
        <v>0.54166666666666663</v>
      </c>
      <c r="G8" s="26">
        <v>11</v>
      </c>
      <c r="H8" s="27">
        <v>146.28</v>
      </c>
      <c r="I8" s="21"/>
      <c r="J8" s="36">
        <v>45717</v>
      </c>
      <c r="K8" s="27">
        <v>505.78</v>
      </c>
      <c r="L8" s="28">
        <v>1199.3499999999999</v>
      </c>
      <c r="M8" s="15">
        <v>203.37</v>
      </c>
      <c r="N8" s="15">
        <v>1060.45</v>
      </c>
      <c r="O8" s="15">
        <v>102.01</v>
      </c>
      <c r="P8" s="15">
        <v>17.59</v>
      </c>
      <c r="Q8" s="15">
        <v>3313.8</v>
      </c>
      <c r="R8" s="15">
        <f t="shared" si="0"/>
        <v>225.25000000000023</v>
      </c>
      <c r="S8" s="14"/>
      <c r="T8" s="14"/>
    </row>
    <row r="9" spans="1:20" ht="13.5" customHeight="1" x14ac:dyDescent="0.3">
      <c r="A9" s="13" t="s">
        <v>23</v>
      </c>
      <c r="B9" s="14">
        <v>4</v>
      </c>
      <c r="C9" s="13" t="s">
        <v>100</v>
      </c>
      <c r="D9" s="43" t="s">
        <v>101</v>
      </c>
      <c r="E9" s="18"/>
      <c r="F9" s="29">
        <v>0.58333333333333337</v>
      </c>
      <c r="G9" s="26">
        <v>7</v>
      </c>
      <c r="H9" s="27">
        <v>107.56</v>
      </c>
      <c r="I9" s="21"/>
      <c r="J9" s="36">
        <v>45748</v>
      </c>
      <c r="K9" s="27">
        <v>281.3</v>
      </c>
      <c r="L9" s="28">
        <v>574.4</v>
      </c>
      <c r="M9" s="15">
        <v>97.4</v>
      </c>
      <c r="N9" s="15">
        <v>589.78</v>
      </c>
      <c r="O9" s="15">
        <v>54.8</v>
      </c>
      <c r="P9" s="15">
        <v>9.7799999999999994</v>
      </c>
      <c r="Q9" s="15">
        <v>1843</v>
      </c>
      <c r="R9" s="15">
        <f t="shared" si="0"/>
        <v>235.54000000000002</v>
      </c>
      <c r="S9" s="14"/>
      <c r="T9" s="14"/>
    </row>
    <row r="10" spans="1:20" ht="13.5" customHeight="1" x14ac:dyDescent="0.3">
      <c r="A10" s="13" t="s">
        <v>24</v>
      </c>
      <c r="B10" s="14">
        <v>5</v>
      </c>
      <c r="C10" s="13" t="s">
        <v>102</v>
      </c>
      <c r="D10" s="43" t="s">
        <v>103</v>
      </c>
      <c r="E10" s="18"/>
      <c r="F10" s="30">
        <v>0.625</v>
      </c>
      <c r="G10" s="26">
        <v>9</v>
      </c>
      <c r="H10" s="27">
        <v>105.65</v>
      </c>
      <c r="I10" s="21"/>
      <c r="J10" s="36">
        <v>45778</v>
      </c>
      <c r="K10" s="27">
        <v>276.69</v>
      </c>
      <c r="L10" s="28">
        <v>716.85</v>
      </c>
      <c r="M10" s="15">
        <v>121.55</v>
      </c>
      <c r="N10" s="15">
        <v>580.12</v>
      </c>
      <c r="O10" s="15">
        <v>57.08</v>
      </c>
      <c r="P10" s="15">
        <v>9.6199999999999992</v>
      </c>
      <c r="Q10" s="15">
        <v>1812.8</v>
      </c>
      <c r="R10" s="15">
        <f t="shared" si="0"/>
        <v>50.890000000000043</v>
      </c>
      <c r="S10" s="14"/>
      <c r="T10" s="14"/>
    </row>
    <row r="11" spans="1:20" ht="13.5" customHeight="1" x14ac:dyDescent="0.3">
      <c r="A11" s="13" t="s">
        <v>25</v>
      </c>
      <c r="B11" s="14">
        <v>6</v>
      </c>
      <c r="C11" s="13" t="s">
        <v>104</v>
      </c>
      <c r="D11" s="43" t="s">
        <v>105</v>
      </c>
      <c r="E11" s="18"/>
      <c r="F11" s="30">
        <v>0.72916666666666663</v>
      </c>
      <c r="G11" s="26">
        <v>9</v>
      </c>
      <c r="H11" s="27">
        <v>144.79</v>
      </c>
      <c r="I11" s="21"/>
      <c r="J11" s="36">
        <v>45809</v>
      </c>
      <c r="K11" s="27">
        <v>292.32</v>
      </c>
      <c r="L11" s="28">
        <v>569.80999999999995</v>
      </c>
      <c r="M11" s="15">
        <v>96.62</v>
      </c>
      <c r="N11" s="15">
        <v>612.89</v>
      </c>
      <c r="O11" s="15">
        <v>56.38</v>
      </c>
      <c r="P11" s="15">
        <v>10.17</v>
      </c>
      <c r="Q11" s="15">
        <v>1915.2</v>
      </c>
      <c r="R11" s="15">
        <f t="shared" si="0"/>
        <v>277.00999999999993</v>
      </c>
      <c r="S11" s="14"/>
      <c r="T11" s="14"/>
    </row>
    <row r="12" spans="1:20" ht="13.5" customHeight="1" x14ac:dyDescent="0.3">
      <c r="A12" s="13" t="s">
        <v>26</v>
      </c>
      <c r="B12" s="14">
        <v>7</v>
      </c>
      <c r="C12" s="13" t="s">
        <v>106</v>
      </c>
      <c r="D12" s="43" t="s">
        <v>107</v>
      </c>
      <c r="E12" s="18"/>
      <c r="F12" s="30">
        <v>0.77083333333333304</v>
      </c>
      <c r="G12" s="26">
        <v>8</v>
      </c>
      <c r="H12" s="27">
        <v>113.43</v>
      </c>
      <c r="I12" s="21"/>
      <c r="J12" s="36">
        <v>45839</v>
      </c>
      <c r="K12" s="27">
        <v>323.08999999999997</v>
      </c>
      <c r="L12" s="28">
        <v>670.9</v>
      </c>
      <c r="M12" s="15">
        <v>113.76</v>
      </c>
      <c r="N12" s="15">
        <v>677.4</v>
      </c>
      <c r="O12" s="15">
        <v>63.18</v>
      </c>
      <c r="P12" s="15">
        <v>11.24</v>
      </c>
      <c r="Q12" s="15">
        <v>2116.8000000000002</v>
      </c>
      <c r="R12" s="15">
        <f t="shared" si="0"/>
        <v>257.23000000000053</v>
      </c>
      <c r="S12" s="14"/>
      <c r="T12" s="14"/>
    </row>
    <row r="13" spans="1:20" ht="13.5" customHeight="1" x14ac:dyDescent="0.3">
      <c r="A13" s="13" t="s">
        <v>27</v>
      </c>
      <c r="B13" s="41" t="s">
        <v>108</v>
      </c>
      <c r="C13" s="13" t="s">
        <v>108</v>
      </c>
      <c r="D13" s="43" t="s">
        <v>109</v>
      </c>
      <c r="E13" s="18"/>
      <c r="F13" s="30">
        <v>0.8125</v>
      </c>
      <c r="G13" s="26">
        <v>6</v>
      </c>
      <c r="H13" s="27">
        <v>79.8</v>
      </c>
      <c r="I13" s="21"/>
      <c r="J13" s="36">
        <v>45870</v>
      </c>
      <c r="K13" s="27">
        <v>248.85</v>
      </c>
      <c r="L13" s="28">
        <v>588.19000000000005</v>
      </c>
      <c r="M13" s="15">
        <v>99.74</v>
      </c>
      <c r="N13" s="15">
        <v>521.75</v>
      </c>
      <c r="O13" s="15">
        <v>50.15</v>
      </c>
      <c r="P13" s="15">
        <v>8.66</v>
      </c>
      <c r="Q13" s="15">
        <v>1630.4</v>
      </c>
      <c r="R13" s="15">
        <f t="shared" si="0"/>
        <v>113.05999999999986</v>
      </c>
      <c r="S13" s="14"/>
      <c r="T13" s="14"/>
    </row>
    <row r="14" spans="1:20" ht="13.5" customHeight="1" x14ac:dyDescent="0.3">
      <c r="A14" s="13" t="s">
        <v>28</v>
      </c>
      <c r="B14" s="14">
        <v>9</v>
      </c>
      <c r="C14" s="13" t="s">
        <v>110</v>
      </c>
      <c r="D14" s="43" t="s">
        <v>111</v>
      </c>
      <c r="E14" s="18"/>
      <c r="F14" s="32"/>
      <c r="G14" s="33"/>
      <c r="H14" s="34"/>
      <c r="I14" s="21"/>
      <c r="J14" s="36">
        <v>45901</v>
      </c>
      <c r="K14" s="27">
        <v>182.91</v>
      </c>
      <c r="L14" s="28">
        <v>473.31</v>
      </c>
      <c r="M14" s="15">
        <v>80.260000000000005</v>
      </c>
      <c r="N14" s="15">
        <v>383.5</v>
      </c>
      <c r="O14" s="15">
        <v>37.72</v>
      </c>
      <c r="P14" s="15">
        <v>6.36</v>
      </c>
      <c r="Q14" s="15">
        <v>1198.4000000000001</v>
      </c>
      <c r="R14" s="15">
        <f t="shared" si="0"/>
        <v>34.340000000000174</v>
      </c>
      <c r="S14" s="14"/>
      <c r="T14" s="14"/>
    </row>
    <row r="15" spans="1:20" ht="13.5" customHeight="1" x14ac:dyDescent="0.3">
      <c r="A15" s="13" t="s">
        <v>29</v>
      </c>
      <c r="B15" s="14">
        <v>10</v>
      </c>
      <c r="C15" s="13" t="s">
        <v>112</v>
      </c>
      <c r="D15" s="43" t="s">
        <v>113</v>
      </c>
      <c r="E15" s="18"/>
      <c r="F15" s="32"/>
      <c r="G15" s="33"/>
      <c r="H15" s="34"/>
      <c r="I15" s="21"/>
      <c r="J15" s="36">
        <v>45931</v>
      </c>
      <c r="K15" s="27">
        <v>306.94</v>
      </c>
      <c r="L15" s="28">
        <v>827.14</v>
      </c>
      <c r="M15" s="15">
        <v>140.25</v>
      </c>
      <c r="N15" s="15">
        <v>643.54</v>
      </c>
      <c r="O15" s="15">
        <v>63.98</v>
      </c>
      <c r="P15" s="15">
        <v>10.68</v>
      </c>
      <c r="Q15" s="15">
        <v>2011</v>
      </c>
      <c r="R15" s="15">
        <f t="shared" si="0"/>
        <v>18.46999999999997</v>
      </c>
      <c r="S15" s="14"/>
      <c r="T15" s="14"/>
    </row>
    <row r="16" spans="1:20" ht="13.5" customHeight="1" x14ac:dyDescent="0.3">
      <c r="A16" s="13" t="s">
        <v>30</v>
      </c>
      <c r="B16" s="14">
        <v>11</v>
      </c>
      <c r="C16" s="13" t="s">
        <v>114</v>
      </c>
      <c r="D16" s="43" t="s">
        <v>115</v>
      </c>
      <c r="E16" s="18"/>
      <c r="F16" s="32"/>
      <c r="G16" s="33"/>
      <c r="H16" s="34"/>
      <c r="I16" s="21"/>
      <c r="J16" s="36">
        <v>45962</v>
      </c>
      <c r="K16" s="27">
        <v>219.05</v>
      </c>
      <c r="L16" s="28">
        <v>431.95</v>
      </c>
      <c r="M16" s="15">
        <v>73.239999999999995</v>
      </c>
      <c r="N16" s="15">
        <v>459.28</v>
      </c>
      <c r="O16" s="15">
        <v>42.36</v>
      </c>
      <c r="P16" s="15">
        <v>7.62</v>
      </c>
      <c r="Q16" s="15">
        <v>1435.2</v>
      </c>
      <c r="R16" s="15">
        <f>Q16-P16-O16-N16-M16-L16-K16</f>
        <v>201.70000000000027</v>
      </c>
      <c r="S16" s="14"/>
      <c r="T16" s="14"/>
    </row>
    <row r="17" spans="1:20" ht="13.5" customHeight="1" x14ac:dyDescent="0.3">
      <c r="A17" s="13" t="s">
        <v>31</v>
      </c>
      <c r="B17" s="14">
        <v>12</v>
      </c>
      <c r="C17" s="13" t="s">
        <v>116</v>
      </c>
      <c r="D17" s="43" t="s">
        <v>117</v>
      </c>
      <c r="E17" s="18"/>
      <c r="F17" s="32"/>
      <c r="G17" s="33"/>
      <c r="H17" s="34"/>
      <c r="I17" s="21"/>
      <c r="J17" s="36">
        <v>45992</v>
      </c>
      <c r="K17" s="27">
        <v>324.20999999999998</v>
      </c>
      <c r="L17" s="28">
        <v>730.64</v>
      </c>
      <c r="M17" s="15">
        <v>123.89</v>
      </c>
      <c r="N17" s="15">
        <v>679.77</v>
      </c>
      <c r="O17" s="15">
        <v>64.599999999999994</v>
      </c>
      <c r="P17" s="15">
        <v>11.28</v>
      </c>
      <c r="Q17" s="15">
        <v>2124.1999999999998</v>
      </c>
      <c r="R17" s="15">
        <f t="shared" si="0"/>
        <v>189.80999999999966</v>
      </c>
      <c r="S17" s="14"/>
      <c r="T17" s="14"/>
    </row>
    <row r="18" spans="1:20" ht="13.5" customHeight="1" x14ac:dyDescent="0.3">
      <c r="A18" s="13" t="s">
        <v>32</v>
      </c>
      <c r="B18" s="14">
        <v>13</v>
      </c>
      <c r="C18" s="13" t="s">
        <v>118</v>
      </c>
      <c r="D18" s="43" t="s">
        <v>119</v>
      </c>
      <c r="E18" s="18"/>
      <c r="F18" s="32"/>
      <c r="G18" s="33"/>
      <c r="H18" s="34"/>
      <c r="I18" s="21"/>
      <c r="J18" s="36">
        <v>46023</v>
      </c>
      <c r="K18" s="27">
        <v>238.22</v>
      </c>
      <c r="L18" s="28">
        <v>418.16</v>
      </c>
      <c r="M18" s="15">
        <v>70.91</v>
      </c>
      <c r="N18" s="15">
        <v>499.47</v>
      </c>
      <c r="O18" s="15">
        <v>44.98</v>
      </c>
      <c r="P18" s="15">
        <v>8.2899999999999991</v>
      </c>
      <c r="Q18" s="15">
        <v>1560.8</v>
      </c>
      <c r="R18" s="15">
        <f t="shared" si="0"/>
        <v>280.77</v>
      </c>
      <c r="S18" s="14"/>
      <c r="T18" s="14"/>
    </row>
    <row r="19" spans="1:20" ht="13.5" customHeight="1" x14ac:dyDescent="0.3">
      <c r="A19" s="13" t="s">
        <v>33</v>
      </c>
      <c r="B19" s="14">
        <v>14</v>
      </c>
      <c r="C19" s="13" t="s">
        <v>120</v>
      </c>
      <c r="D19" s="43" t="s">
        <v>121</v>
      </c>
      <c r="E19" s="18"/>
      <c r="F19" s="32"/>
      <c r="G19" s="33"/>
      <c r="H19" s="34"/>
      <c r="I19" s="21"/>
      <c r="J19" s="36">
        <v>46054</v>
      </c>
      <c r="K19" s="27">
        <v>388.35</v>
      </c>
      <c r="L19" s="39">
        <v>955.81</v>
      </c>
      <c r="M19" s="40">
        <v>162.07</v>
      </c>
      <c r="N19" s="40">
        <v>814.24</v>
      </c>
      <c r="O19" s="40">
        <v>79.06</v>
      </c>
      <c r="P19" s="40">
        <v>13.51</v>
      </c>
      <c r="Q19" s="40">
        <v>2544.4</v>
      </c>
      <c r="R19" s="15">
        <f t="shared" si="0"/>
        <v>131.36000000000001</v>
      </c>
      <c r="S19" s="14"/>
      <c r="T19" s="14"/>
    </row>
    <row r="20" spans="1:20" ht="13.5" customHeight="1" x14ac:dyDescent="0.3">
      <c r="A20" s="13" t="s">
        <v>34</v>
      </c>
      <c r="B20" s="14">
        <v>15</v>
      </c>
      <c r="C20" s="13" t="s">
        <v>122</v>
      </c>
      <c r="D20" s="43" t="s">
        <v>123</v>
      </c>
      <c r="E20" s="18"/>
      <c r="F20" s="32"/>
      <c r="G20" s="33"/>
      <c r="H20" s="34"/>
      <c r="I20" s="21"/>
      <c r="J20" s="38"/>
      <c r="K20" s="34"/>
      <c r="L20" s="34"/>
      <c r="M20" s="34"/>
      <c r="N20" s="34"/>
      <c r="O20" s="34"/>
      <c r="P20" s="34"/>
      <c r="Q20" s="34"/>
      <c r="R20" s="34"/>
      <c r="S20" s="37"/>
      <c r="T20" s="14"/>
    </row>
    <row r="21" spans="1:20" ht="13.5" customHeight="1" x14ac:dyDescent="0.3">
      <c r="A21" s="13" t="s">
        <v>35</v>
      </c>
      <c r="B21" s="14">
        <v>16</v>
      </c>
      <c r="C21" s="13" t="s">
        <v>124</v>
      </c>
      <c r="D21" s="43" t="s">
        <v>125</v>
      </c>
      <c r="E21" s="18"/>
      <c r="F21" s="32"/>
      <c r="G21" s="33"/>
      <c r="H21" s="34"/>
      <c r="I21" s="21"/>
      <c r="J21" s="38"/>
      <c r="K21" s="34"/>
      <c r="L21" s="34"/>
      <c r="M21" s="34"/>
      <c r="N21" s="34"/>
      <c r="O21" s="34"/>
      <c r="P21" s="34"/>
      <c r="Q21" s="34"/>
      <c r="R21" s="34"/>
      <c r="S21" s="37"/>
      <c r="T21" s="14"/>
    </row>
    <row r="22" spans="1:20" ht="13.5" customHeight="1" x14ac:dyDescent="0.3">
      <c r="A22" s="13" t="s">
        <v>36</v>
      </c>
      <c r="B22" s="14">
        <v>17</v>
      </c>
      <c r="C22" s="13" t="s">
        <v>126</v>
      </c>
      <c r="D22" s="43" t="s">
        <v>127</v>
      </c>
      <c r="E22" s="18"/>
      <c r="F22" s="32"/>
      <c r="G22" s="33"/>
      <c r="H22" s="34"/>
      <c r="I22" s="21"/>
      <c r="J22" s="38"/>
      <c r="K22" s="34"/>
      <c r="L22" s="34"/>
      <c r="M22" s="34"/>
      <c r="N22" s="34"/>
      <c r="O22" s="34"/>
      <c r="P22" s="34"/>
      <c r="Q22" s="34"/>
      <c r="R22" s="34"/>
      <c r="S22" s="37"/>
      <c r="T22" s="14"/>
    </row>
    <row r="23" spans="1:20" ht="13.5" customHeight="1" x14ac:dyDescent="0.3">
      <c r="A23" s="13" t="s">
        <v>37</v>
      </c>
      <c r="B23" s="14">
        <v>18</v>
      </c>
      <c r="C23" s="13" t="s">
        <v>128</v>
      </c>
      <c r="D23" s="43" t="s">
        <v>129</v>
      </c>
      <c r="E23" s="18"/>
      <c r="F23" s="32"/>
      <c r="G23" s="33"/>
      <c r="H23" s="34"/>
      <c r="I23" s="21"/>
      <c r="J23" s="38"/>
      <c r="K23" s="34"/>
      <c r="L23" s="34"/>
      <c r="M23" s="34"/>
      <c r="N23" s="34"/>
      <c r="O23" s="34"/>
      <c r="P23" s="34"/>
      <c r="Q23" s="34"/>
      <c r="R23" s="34"/>
      <c r="S23" s="37"/>
      <c r="T23" s="14"/>
    </row>
    <row r="24" spans="1:20" ht="13.5" customHeight="1" x14ac:dyDescent="0.3">
      <c r="A24" s="13" t="s">
        <v>38</v>
      </c>
      <c r="B24" s="14">
        <v>19</v>
      </c>
      <c r="C24" s="13" t="s">
        <v>130</v>
      </c>
      <c r="D24" s="43" t="s">
        <v>131</v>
      </c>
      <c r="E24" s="18"/>
      <c r="F24" s="32"/>
      <c r="G24" s="33"/>
      <c r="H24" s="34"/>
      <c r="I24" s="21"/>
      <c r="J24" s="38"/>
      <c r="K24" s="34"/>
      <c r="L24" s="34"/>
      <c r="M24" s="34"/>
      <c r="N24" s="34"/>
      <c r="O24" s="34"/>
      <c r="P24" s="34"/>
      <c r="Q24" s="34"/>
      <c r="R24" s="34"/>
      <c r="S24" s="37"/>
      <c r="T24" s="14"/>
    </row>
    <row r="25" spans="1:20" ht="13.5" customHeight="1" x14ac:dyDescent="0.3">
      <c r="A25" s="13" t="s">
        <v>39</v>
      </c>
      <c r="B25" s="14">
        <v>20</v>
      </c>
      <c r="C25" s="13" t="s">
        <v>132</v>
      </c>
      <c r="D25" s="43" t="s">
        <v>133</v>
      </c>
      <c r="E25" s="18"/>
      <c r="F25" s="32"/>
      <c r="G25" s="33"/>
      <c r="H25" s="34"/>
      <c r="I25" s="21"/>
      <c r="J25" s="38"/>
      <c r="K25" s="34"/>
      <c r="L25" s="34"/>
      <c r="M25" s="34"/>
      <c r="N25" s="34"/>
      <c r="O25" s="34"/>
      <c r="P25" s="34"/>
      <c r="Q25" s="34"/>
      <c r="R25" s="34"/>
      <c r="S25" s="37"/>
      <c r="T25" s="14"/>
    </row>
    <row r="26" spans="1:20" ht="13.5" customHeight="1" x14ac:dyDescent="0.3">
      <c r="A26" s="13" t="s">
        <v>40</v>
      </c>
      <c r="B26" s="14">
        <v>21</v>
      </c>
      <c r="C26" s="13" t="s">
        <v>134</v>
      </c>
      <c r="D26" s="43" t="s">
        <v>135</v>
      </c>
      <c r="E26" s="18"/>
      <c r="F26" s="32"/>
      <c r="G26" s="33"/>
      <c r="H26" s="34"/>
      <c r="I26" s="21"/>
      <c r="J26" s="38"/>
      <c r="K26" s="34"/>
      <c r="L26" s="34"/>
      <c r="M26" s="34"/>
      <c r="N26" s="34"/>
      <c r="O26" s="34"/>
      <c r="P26" s="34"/>
      <c r="Q26" s="34"/>
      <c r="R26" s="34"/>
      <c r="S26" s="37"/>
      <c r="T26" s="14"/>
    </row>
    <row r="27" spans="1:20" ht="13.5" customHeight="1" x14ac:dyDescent="0.3">
      <c r="A27" s="13" t="s">
        <v>41</v>
      </c>
      <c r="B27" s="14">
        <v>22</v>
      </c>
      <c r="C27" s="13" t="s">
        <v>136</v>
      </c>
      <c r="D27" s="43" t="s">
        <v>137</v>
      </c>
      <c r="E27" s="18"/>
      <c r="F27" s="32"/>
      <c r="G27" s="33"/>
      <c r="H27" s="34"/>
      <c r="I27" s="21"/>
      <c r="J27" s="38"/>
      <c r="K27" s="34"/>
      <c r="L27" s="34"/>
      <c r="M27" s="34"/>
      <c r="N27" s="34"/>
      <c r="O27" s="34"/>
      <c r="P27" s="34"/>
      <c r="Q27" s="34"/>
      <c r="R27" s="34"/>
      <c r="S27" s="37"/>
      <c r="T27" s="14"/>
    </row>
    <row r="28" spans="1:20" ht="13.5" customHeight="1" x14ac:dyDescent="0.3">
      <c r="A28" s="13" t="s">
        <v>42</v>
      </c>
      <c r="B28" s="14">
        <v>23</v>
      </c>
      <c r="C28" s="13" t="s">
        <v>138</v>
      </c>
      <c r="D28" s="43" t="s">
        <v>139</v>
      </c>
      <c r="E28" s="18"/>
      <c r="F28" s="32"/>
      <c r="G28" s="33"/>
      <c r="H28" s="34"/>
      <c r="I28" s="21"/>
      <c r="J28" s="38"/>
      <c r="K28" s="34"/>
      <c r="L28" s="34"/>
      <c r="M28" s="34"/>
      <c r="N28" s="34"/>
      <c r="O28" s="34"/>
      <c r="P28" s="34"/>
      <c r="Q28" s="34"/>
      <c r="R28" s="34"/>
      <c r="S28" s="37"/>
      <c r="T28" s="14"/>
    </row>
    <row r="29" spans="1:20" ht="13.5" customHeight="1" x14ac:dyDescent="0.3">
      <c r="A29" s="13" t="s">
        <v>43</v>
      </c>
      <c r="B29" s="14">
        <v>24</v>
      </c>
      <c r="C29" s="13" t="s">
        <v>140</v>
      </c>
      <c r="D29" s="43" t="s">
        <v>141</v>
      </c>
      <c r="E29" s="18"/>
      <c r="F29" s="32"/>
      <c r="G29" s="33"/>
      <c r="H29" s="34"/>
      <c r="I29" s="21"/>
      <c r="J29" s="38"/>
      <c r="K29" s="34"/>
      <c r="L29" s="34"/>
      <c r="M29" s="34"/>
      <c r="N29" s="34"/>
      <c r="O29" s="34"/>
      <c r="P29" s="34"/>
      <c r="Q29" s="34"/>
      <c r="R29" s="34"/>
      <c r="S29" s="37"/>
      <c r="T29" s="14"/>
    </row>
    <row r="30" spans="1:20" ht="13.5" customHeight="1" x14ac:dyDescent="0.3">
      <c r="A30" s="13" t="s">
        <v>44</v>
      </c>
      <c r="B30" s="14">
        <v>25</v>
      </c>
      <c r="C30" s="13" t="s">
        <v>142</v>
      </c>
      <c r="D30" s="43" t="s">
        <v>143</v>
      </c>
      <c r="E30" s="18"/>
      <c r="F30" s="32"/>
      <c r="G30" s="33"/>
      <c r="H30" s="34"/>
      <c r="I30" s="21"/>
      <c r="J30" s="38"/>
      <c r="K30" s="34"/>
      <c r="L30" s="34"/>
      <c r="M30" s="34"/>
      <c r="N30" s="34"/>
      <c r="O30" s="34"/>
      <c r="P30" s="34"/>
      <c r="Q30" s="34"/>
      <c r="R30" s="34"/>
      <c r="S30" s="37"/>
      <c r="T30" s="14"/>
    </row>
    <row r="31" spans="1:20" ht="13.5" customHeight="1" x14ac:dyDescent="0.3">
      <c r="A31" s="13" t="s">
        <v>45</v>
      </c>
      <c r="B31" s="14">
        <v>26</v>
      </c>
      <c r="C31" s="13" t="s">
        <v>144</v>
      </c>
      <c r="D31" s="43" t="s">
        <v>145</v>
      </c>
      <c r="E31" s="18"/>
      <c r="F31" s="32"/>
      <c r="G31" s="33"/>
      <c r="H31" s="34"/>
      <c r="I31" s="21"/>
      <c r="J31" s="38"/>
      <c r="K31" s="34"/>
      <c r="L31" s="34"/>
      <c r="M31" s="34"/>
      <c r="N31" s="34"/>
      <c r="O31" s="34"/>
      <c r="P31" s="34"/>
      <c r="Q31" s="34"/>
      <c r="R31" s="34"/>
      <c r="S31" s="37"/>
      <c r="T31" s="14"/>
    </row>
    <row r="32" spans="1:20" ht="13.5" customHeight="1" x14ac:dyDescent="0.3">
      <c r="A32" s="13" t="s">
        <v>46</v>
      </c>
      <c r="B32" s="14">
        <v>27</v>
      </c>
      <c r="C32" s="13" t="s">
        <v>146</v>
      </c>
      <c r="D32" s="43" t="s">
        <v>147</v>
      </c>
      <c r="E32" s="18"/>
      <c r="F32" s="32"/>
      <c r="G32" s="33"/>
      <c r="H32" s="34"/>
      <c r="I32" s="21"/>
      <c r="J32" s="38"/>
      <c r="K32" s="34"/>
      <c r="L32" s="34"/>
      <c r="M32" s="34"/>
      <c r="N32" s="34"/>
      <c r="O32" s="34"/>
      <c r="P32" s="34"/>
      <c r="Q32" s="34"/>
      <c r="R32" s="34"/>
      <c r="S32" s="37"/>
      <c r="T32" s="14"/>
    </row>
    <row r="33" spans="1:20" ht="13.5" customHeight="1" x14ac:dyDescent="0.3">
      <c r="A33" s="13" t="s">
        <v>47</v>
      </c>
      <c r="B33" s="14">
        <v>28</v>
      </c>
      <c r="C33" s="13" t="s">
        <v>148</v>
      </c>
      <c r="D33" s="43" t="s">
        <v>149</v>
      </c>
      <c r="E33" s="18"/>
      <c r="F33" s="32"/>
      <c r="G33" s="33"/>
      <c r="H33" s="34"/>
      <c r="I33" s="21"/>
      <c r="J33" s="35"/>
      <c r="K33" s="34"/>
      <c r="L33" s="34"/>
      <c r="M33" s="34"/>
      <c r="N33" s="34"/>
      <c r="O33" s="34"/>
      <c r="P33" s="34"/>
      <c r="Q33" s="34"/>
      <c r="R33" s="34"/>
      <c r="S33" s="37"/>
      <c r="T33" s="14"/>
    </row>
    <row r="34" spans="1:20" ht="13.5" customHeight="1" x14ac:dyDescent="0.3">
      <c r="A34" s="13" t="s">
        <v>48</v>
      </c>
      <c r="B34" s="14">
        <v>29</v>
      </c>
      <c r="C34" s="13" t="s">
        <v>150</v>
      </c>
      <c r="D34" s="43" t="s">
        <v>151</v>
      </c>
      <c r="E34" s="18"/>
      <c r="F34" s="32"/>
      <c r="G34" s="33"/>
      <c r="H34" s="34"/>
      <c r="I34" s="21"/>
      <c r="J34" s="35"/>
      <c r="K34" s="34"/>
      <c r="L34" s="34"/>
      <c r="M34" s="34"/>
      <c r="N34" s="34"/>
      <c r="O34" s="34"/>
      <c r="P34" s="34"/>
      <c r="Q34" s="34"/>
      <c r="R34" s="34"/>
      <c r="S34" s="37"/>
      <c r="T34" s="14"/>
    </row>
    <row r="35" spans="1:20" ht="13.5" customHeight="1" x14ac:dyDescent="0.3">
      <c r="A35" s="13" t="s">
        <v>49</v>
      </c>
      <c r="B35" s="14">
        <v>30</v>
      </c>
      <c r="C35" s="13" t="s">
        <v>152</v>
      </c>
      <c r="D35" s="43" t="s">
        <v>153</v>
      </c>
      <c r="E35" s="18"/>
      <c r="F35" s="32"/>
      <c r="G35" s="33"/>
      <c r="H35" s="34"/>
      <c r="I35" s="21"/>
      <c r="J35" s="35"/>
      <c r="K35" s="34"/>
      <c r="L35" s="34"/>
      <c r="M35" s="34"/>
      <c r="N35" s="34"/>
      <c r="O35" s="34"/>
      <c r="P35" s="34"/>
      <c r="Q35" s="34"/>
      <c r="R35" s="34"/>
      <c r="S35" s="37"/>
      <c r="T35" s="14"/>
    </row>
    <row r="36" spans="1:20" ht="13.5" customHeight="1" x14ac:dyDescent="0.3">
      <c r="A36" s="13" t="s">
        <v>50</v>
      </c>
      <c r="B36" s="14">
        <v>31</v>
      </c>
      <c r="C36" s="13" t="s">
        <v>154</v>
      </c>
      <c r="D36" s="43" t="s">
        <v>155</v>
      </c>
      <c r="E36" s="18"/>
      <c r="F36" s="32"/>
      <c r="G36" s="33"/>
      <c r="H36" s="34"/>
      <c r="I36" s="21"/>
      <c r="J36" s="35"/>
      <c r="K36" s="34"/>
      <c r="L36" s="34"/>
      <c r="M36" s="34"/>
      <c r="N36" s="34"/>
      <c r="O36" s="34"/>
      <c r="P36" s="34"/>
      <c r="Q36" s="34"/>
      <c r="R36" s="34"/>
      <c r="S36" s="37"/>
      <c r="T36" s="14"/>
    </row>
    <row r="37" spans="1:20" ht="13.5" customHeight="1" x14ac:dyDescent="0.3">
      <c r="A37" s="13" t="s">
        <v>51</v>
      </c>
      <c r="B37" s="14">
        <v>32</v>
      </c>
      <c r="C37" s="13" t="s">
        <v>156</v>
      </c>
      <c r="D37" s="43" t="s">
        <v>157</v>
      </c>
      <c r="E37" s="18"/>
      <c r="F37" s="32"/>
      <c r="G37" s="33"/>
      <c r="H37" s="34"/>
      <c r="I37" s="21"/>
      <c r="J37" s="35"/>
      <c r="K37" s="34"/>
      <c r="L37" s="34"/>
      <c r="M37" s="34"/>
      <c r="N37" s="34"/>
      <c r="O37" s="34"/>
      <c r="P37" s="34"/>
      <c r="Q37" s="34"/>
      <c r="R37" s="34"/>
      <c r="S37" s="37"/>
      <c r="T37" s="14"/>
    </row>
    <row r="38" spans="1:20" ht="13.5" customHeight="1" x14ac:dyDescent="0.3">
      <c r="A38" s="13" t="s">
        <v>52</v>
      </c>
      <c r="B38" s="14">
        <v>33</v>
      </c>
      <c r="C38" s="13" t="s">
        <v>158</v>
      </c>
      <c r="D38" s="43" t="s">
        <v>159</v>
      </c>
      <c r="E38" s="18"/>
      <c r="F38" s="32"/>
      <c r="G38" s="33"/>
      <c r="H38" s="34"/>
      <c r="I38" s="21"/>
      <c r="J38" s="35"/>
      <c r="K38" s="34"/>
      <c r="L38" s="34"/>
      <c r="M38" s="34"/>
      <c r="N38" s="34"/>
      <c r="O38" s="34"/>
      <c r="P38" s="34"/>
      <c r="Q38" s="34"/>
      <c r="R38" s="34"/>
      <c r="S38" s="37"/>
      <c r="T38" s="14"/>
    </row>
    <row r="39" spans="1:20" ht="13.5" customHeight="1" x14ac:dyDescent="0.3">
      <c r="A39" s="13" t="s">
        <v>53</v>
      </c>
      <c r="B39" s="14">
        <v>34</v>
      </c>
      <c r="C39" s="13" t="s">
        <v>160</v>
      </c>
      <c r="D39" s="43" t="s">
        <v>161</v>
      </c>
      <c r="E39" s="18"/>
      <c r="F39" s="32"/>
      <c r="G39" s="33"/>
      <c r="H39" s="34"/>
      <c r="I39" s="21"/>
      <c r="J39" s="35"/>
      <c r="K39" s="34"/>
      <c r="L39" s="34"/>
      <c r="M39" s="34"/>
      <c r="N39" s="34"/>
      <c r="O39" s="34"/>
      <c r="P39" s="34"/>
      <c r="Q39" s="34"/>
      <c r="R39" s="34"/>
      <c r="S39" s="37"/>
      <c r="T39" s="14"/>
    </row>
    <row r="40" spans="1:20" ht="13.5" customHeight="1" x14ac:dyDescent="0.3">
      <c r="A40" s="13" t="s">
        <v>54</v>
      </c>
      <c r="B40" s="14">
        <v>35</v>
      </c>
      <c r="C40" s="13" t="s">
        <v>162</v>
      </c>
      <c r="D40" s="43" t="s">
        <v>163</v>
      </c>
      <c r="E40" s="18"/>
      <c r="F40" s="32"/>
      <c r="G40" s="33"/>
      <c r="H40" s="34"/>
      <c r="I40" s="21"/>
      <c r="J40" s="35"/>
      <c r="K40" s="34"/>
      <c r="L40" s="34"/>
      <c r="M40" s="34"/>
      <c r="N40" s="34"/>
      <c r="O40" s="34"/>
      <c r="P40" s="34"/>
      <c r="Q40" s="34"/>
      <c r="R40" s="34"/>
      <c r="S40" s="37"/>
      <c r="T40" s="14"/>
    </row>
    <row r="41" spans="1:20" ht="13.5" customHeight="1" x14ac:dyDescent="0.3">
      <c r="A41" s="13" t="s">
        <v>55</v>
      </c>
      <c r="B41" s="14">
        <v>36</v>
      </c>
      <c r="C41" s="13" t="s">
        <v>164</v>
      </c>
      <c r="D41" s="43" t="s">
        <v>165</v>
      </c>
      <c r="E41" s="18"/>
      <c r="F41" s="32"/>
      <c r="G41" s="33"/>
      <c r="H41" s="34"/>
      <c r="I41" s="21"/>
      <c r="J41" s="35"/>
      <c r="K41" s="34"/>
      <c r="L41" s="34"/>
      <c r="M41" s="34"/>
      <c r="N41" s="34"/>
      <c r="O41" s="34"/>
      <c r="P41" s="34"/>
      <c r="Q41" s="34"/>
      <c r="R41" s="34"/>
      <c r="S41" s="37"/>
      <c r="T41" s="14"/>
    </row>
    <row r="42" spans="1:20" ht="13.5" customHeight="1" x14ac:dyDescent="0.3">
      <c r="A42" s="13" t="s">
        <v>56</v>
      </c>
      <c r="B42" s="14">
        <v>37</v>
      </c>
      <c r="C42" s="13" t="s">
        <v>166</v>
      </c>
      <c r="D42" s="43" t="s">
        <v>167</v>
      </c>
      <c r="E42" s="18"/>
      <c r="F42" s="32"/>
      <c r="G42" s="33"/>
      <c r="H42" s="34"/>
      <c r="I42" s="21"/>
      <c r="J42" s="35"/>
      <c r="K42" s="34"/>
      <c r="L42" s="34"/>
      <c r="M42" s="34"/>
      <c r="N42" s="34"/>
      <c r="O42" s="34"/>
      <c r="P42" s="34"/>
      <c r="Q42" s="34"/>
      <c r="R42" s="34"/>
      <c r="S42" s="37"/>
      <c r="T42" s="14"/>
    </row>
    <row r="43" spans="1:20" ht="13.5" customHeight="1" x14ac:dyDescent="0.3">
      <c r="A43" s="13" t="s">
        <v>57</v>
      </c>
      <c r="B43" s="14">
        <v>38</v>
      </c>
      <c r="C43" s="13" t="s">
        <v>168</v>
      </c>
      <c r="D43" s="43" t="s">
        <v>169</v>
      </c>
      <c r="E43" s="18"/>
      <c r="F43" s="32"/>
      <c r="G43" s="33"/>
      <c r="H43" s="34"/>
      <c r="I43" s="21"/>
      <c r="J43" s="35"/>
      <c r="K43" s="34"/>
      <c r="L43" s="34"/>
      <c r="M43" s="34"/>
      <c r="N43" s="34"/>
      <c r="O43" s="34"/>
      <c r="P43" s="34"/>
      <c r="Q43" s="34"/>
      <c r="R43" s="34"/>
      <c r="S43" s="37"/>
      <c r="T43" s="14"/>
    </row>
    <row r="44" spans="1:20" ht="13.5" customHeight="1" x14ac:dyDescent="0.3">
      <c r="A44" s="13" t="s">
        <v>58</v>
      </c>
      <c r="B44" s="14">
        <v>39</v>
      </c>
      <c r="C44" s="13" t="s">
        <v>170</v>
      </c>
      <c r="D44" s="43" t="s">
        <v>171</v>
      </c>
      <c r="E44" s="18"/>
      <c r="F44" s="32"/>
      <c r="G44" s="33"/>
      <c r="H44" s="34"/>
      <c r="I44" s="21"/>
      <c r="J44" s="35"/>
      <c r="K44" s="34"/>
      <c r="L44" s="34"/>
      <c r="M44" s="34"/>
      <c r="N44" s="34"/>
      <c r="O44" s="34"/>
      <c r="P44" s="34"/>
      <c r="Q44" s="34"/>
      <c r="R44" s="34"/>
      <c r="S44" s="37"/>
      <c r="T44" s="14"/>
    </row>
    <row r="45" spans="1:20" ht="13.5" customHeight="1" x14ac:dyDescent="0.3">
      <c r="A45" s="13" t="s">
        <v>59</v>
      </c>
      <c r="B45" s="14">
        <v>40</v>
      </c>
      <c r="C45" s="13" t="s">
        <v>172</v>
      </c>
      <c r="D45" s="43" t="s">
        <v>173</v>
      </c>
      <c r="E45" s="18"/>
      <c r="F45" s="32"/>
      <c r="G45" s="33"/>
      <c r="H45" s="34"/>
      <c r="I45" s="21"/>
      <c r="J45" s="35"/>
      <c r="K45" s="34"/>
      <c r="L45" s="34"/>
      <c r="M45" s="34"/>
      <c r="N45" s="34"/>
      <c r="O45" s="34"/>
      <c r="P45" s="34"/>
      <c r="Q45" s="34"/>
      <c r="R45" s="34"/>
      <c r="S45" s="37"/>
      <c r="T45" s="14"/>
    </row>
    <row r="46" spans="1:20" ht="13.5" customHeight="1" x14ac:dyDescent="0.3">
      <c r="A46" s="13" t="s">
        <v>60</v>
      </c>
      <c r="B46" s="14">
        <v>41</v>
      </c>
      <c r="C46" s="13" t="s">
        <v>174</v>
      </c>
      <c r="D46" s="43" t="s">
        <v>175</v>
      </c>
      <c r="E46" s="18"/>
      <c r="F46" s="32"/>
      <c r="G46" s="33"/>
      <c r="H46" s="34"/>
      <c r="I46" s="21"/>
      <c r="J46" s="35"/>
      <c r="K46" s="34"/>
      <c r="L46" s="34"/>
      <c r="M46" s="34"/>
      <c r="N46" s="34"/>
      <c r="O46" s="34"/>
      <c r="P46" s="34"/>
      <c r="Q46" s="34"/>
      <c r="R46" s="34"/>
      <c r="S46" s="37"/>
      <c r="T46" s="14"/>
    </row>
    <row r="47" spans="1:20" ht="13.5" customHeight="1" x14ac:dyDescent="0.3">
      <c r="A47" s="13" t="s">
        <v>61</v>
      </c>
      <c r="B47" s="14">
        <v>42</v>
      </c>
      <c r="C47" s="13" t="s">
        <v>176</v>
      </c>
      <c r="D47" s="43" t="s">
        <v>177</v>
      </c>
      <c r="E47" s="18"/>
      <c r="F47" s="32"/>
      <c r="G47" s="33"/>
      <c r="H47" s="34"/>
      <c r="I47" s="21"/>
      <c r="J47" s="35"/>
      <c r="K47" s="34"/>
      <c r="L47" s="34"/>
      <c r="M47" s="34"/>
      <c r="N47" s="34"/>
      <c r="O47" s="34"/>
      <c r="P47" s="34"/>
      <c r="Q47" s="34"/>
      <c r="R47" s="34"/>
      <c r="S47" s="37"/>
      <c r="T47" s="14"/>
    </row>
    <row r="48" spans="1:20" ht="13.5" customHeight="1" x14ac:dyDescent="0.3">
      <c r="A48" s="13" t="s">
        <v>62</v>
      </c>
      <c r="B48" s="14">
        <v>43</v>
      </c>
      <c r="C48" s="13" t="s">
        <v>178</v>
      </c>
      <c r="D48" s="43" t="s">
        <v>179</v>
      </c>
      <c r="E48" s="18"/>
      <c r="F48" s="32"/>
      <c r="G48" s="33"/>
      <c r="H48" s="34"/>
      <c r="I48" s="21"/>
      <c r="J48" s="35"/>
      <c r="K48" s="34"/>
      <c r="L48" s="34"/>
      <c r="M48" s="34"/>
      <c r="N48" s="34"/>
      <c r="O48" s="34"/>
      <c r="P48" s="34"/>
      <c r="Q48" s="34"/>
      <c r="R48" s="34"/>
      <c r="S48" s="37"/>
      <c r="T48" s="14"/>
    </row>
    <row r="49" spans="1:20" ht="13.5" customHeight="1" x14ac:dyDescent="0.3">
      <c r="A49" s="13" t="s">
        <v>63</v>
      </c>
      <c r="B49" s="14">
        <v>44</v>
      </c>
      <c r="C49" s="13" t="s">
        <v>180</v>
      </c>
      <c r="D49" s="43" t="s">
        <v>181</v>
      </c>
      <c r="E49" s="18"/>
      <c r="F49" s="32"/>
      <c r="G49" s="33"/>
      <c r="H49" s="34"/>
      <c r="I49" s="21"/>
      <c r="J49" s="35"/>
      <c r="K49" s="34"/>
      <c r="L49" s="34"/>
      <c r="M49" s="34"/>
      <c r="N49" s="34"/>
      <c r="O49" s="34"/>
      <c r="P49" s="34"/>
      <c r="Q49" s="34"/>
      <c r="R49" s="34"/>
      <c r="S49" s="37"/>
      <c r="T49" s="14"/>
    </row>
    <row r="50" spans="1:20" ht="13.5" customHeight="1" x14ac:dyDescent="0.3">
      <c r="A50" s="13" t="s">
        <v>64</v>
      </c>
      <c r="B50" s="14">
        <v>45</v>
      </c>
      <c r="C50" s="13" t="s">
        <v>182</v>
      </c>
      <c r="D50" s="43" t="s">
        <v>180</v>
      </c>
      <c r="E50" s="18"/>
      <c r="F50" s="32"/>
      <c r="G50" s="33"/>
      <c r="H50" s="34"/>
      <c r="I50" s="21"/>
      <c r="J50" s="35"/>
      <c r="K50" s="34"/>
      <c r="L50" s="34"/>
      <c r="M50" s="34"/>
      <c r="N50" s="34"/>
      <c r="O50" s="34"/>
      <c r="P50" s="34"/>
      <c r="Q50" s="34"/>
      <c r="R50" s="34"/>
      <c r="S50" s="37"/>
      <c r="T50" s="14"/>
    </row>
    <row r="51" spans="1:20" ht="13.5" customHeight="1" x14ac:dyDescent="0.3">
      <c r="A51" s="13" t="s">
        <v>65</v>
      </c>
      <c r="B51" s="14">
        <v>46</v>
      </c>
      <c r="C51" s="13" t="s">
        <v>181</v>
      </c>
      <c r="D51" s="43" t="s">
        <v>176</v>
      </c>
      <c r="E51" s="18"/>
      <c r="F51" s="32"/>
      <c r="G51" s="33"/>
      <c r="H51" s="34"/>
      <c r="I51" s="21"/>
      <c r="J51" s="35"/>
      <c r="K51" s="34"/>
      <c r="L51" s="34"/>
      <c r="M51" s="34"/>
      <c r="N51" s="34"/>
      <c r="O51" s="34"/>
      <c r="P51" s="34"/>
      <c r="Q51" s="34"/>
      <c r="R51" s="34"/>
      <c r="S51" s="37"/>
      <c r="T51" s="14"/>
    </row>
    <row r="52" spans="1:20" ht="13.5" customHeight="1" x14ac:dyDescent="0.3">
      <c r="A52" s="13" t="s">
        <v>66</v>
      </c>
      <c r="B52" s="14">
        <v>47</v>
      </c>
      <c r="C52" s="13" t="s">
        <v>183</v>
      </c>
      <c r="D52" s="43" t="s">
        <v>172</v>
      </c>
      <c r="E52" s="18"/>
      <c r="F52" s="32"/>
      <c r="G52" s="33"/>
      <c r="H52" s="34"/>
      <c r="I52" s="21"/>
      <c r="J52" s="35"/>
      <c r="K52" s="34"/>
      <c r="L52" s="34"/>
      <c r="M52" s="34"/>
      <c r="N52" s="34"/>
      <c r="O52" s="34"/>
      <c r="P52" s="34"/>
      <c r="Q52" s="34"/>
      <c r="R52" s="34"/>
      <c r="S52" s="37"/>
      <c r="T52" s="14"/>
    </row>
    <row r="53" spans="1:20" ht="13.5" customHeight="1" x14ac:dyDescent="0.3">
      <c r="A53" s="13" t="s">
        <v>67</v>
      </c>
      <c r="B53" s="14">
        <v>48</v>
      </c>
      <c r="C53" s="13" t="s">
        <v>179</v>
      </c>
      <c r="D53" s="43" t="s">
        <v>168</v>
      </c>
      <c r="E53" s="18"/>
      <c r="F53" s="32"/>
      <c r="G53" s="33"/>
      <c r="H53" s="34"/>
      <c r="I53" s="21"/>
      <c r="J53" s="35"/>
      <c r="K53" s="34"/>
      <c r="L53" s="34"/>
      <c r="M53" s="34"/>
      <c r="N53" s="34"/>
      <c r="O53" s="34"/>
      <c r="P53" s="34"/>
      <c r="Q53" s="34"/>
      <c r="R53" s="34"/>
      <c r="S53" s="37"/>
      <c r="T53" s="14"/>
    </row>
    <row r="54" spans="1:20" ht="13.5" customHeight="1" x14ac:dyDescent="0.3">
      <c r="A54" s="13" t="s">
        <v>68</v>
      </c>
      <c r="B54" s="14">
        <v>49</v>
      </c>
      <c r="C54" s="13" t="s">
        <v>184</v>
      </c>
      <c r="D54" s="43" t="s">
        <v>164</v>
      </c>
      <c r="E54" s="18"/>
      <c r="F54" s="32"/>
      <c r="G54" s="33"/>
      <c r="H54" s="34"/>
      <c r="I54" s="21"/>
      <c r="J54" s="35"/>
      <c r="K54" s="34"/>
      <c r="L54" s="34"/>
      <c r="M54" s="34"/>
      <c r="N54" s="34"/>
      <c r="O54" s="34"/>
      <c r="P54" s="34"/>
      <c r="Q54" s="34"/>
      <c r="R54" s="34"/>
      <c r="S54" s="37"/>
      <c r="T54" s="14"/>
    </row>
    <row r="55" spans="1:20" ht="13.5" customHeight="1" x14ac:dyDescent="0.3">
      <c r="A55" s="13" t="s">
        <v>69</v>
      </c>
      <c r="B55" s="14">
        <v>50</v>
      </c>
      <c r="C55" s="13" t="s">
        <v>177</v>
      </c>
      <c r="D55" s="43" t="s">
        <v>160</v>
      </c>
      <c r="E55" s="18"/>
      <c r="F55" s="32"/>
      <c r="G55" s="33"/>
      <c r="H55" s="34"/>
      <c r="I55" s="21"/>
      <c r="J55" s="35"/>
      <c r="K55" s="34"/>
      <c r="L55" s="34"/>
      <c r="M55" s="34"/>
      <c r="N55" s="34"/>
      <c r="O55" s="34"/>
      <c r="P55" s="34"/>
      <c r="Q55" s="34"/>
      <c r="R55" s="34"/>
      <c r="S55" s="37"/>
      <c r="T55" s="14"/>
    </row>
    <row r="56" spans="1:20" ht="13.5" customHeight="1" x14ac:dyDescent="0.3">
      <c r="A56" s="13" t="s">
        <v>70</v>
      </c>
      <c r="B56" s="14">
        <v>51</v>
      </c>
      <c r="C56" s="13" t="s">
        <v>185</v>
      </c>
      <c r="D56" s="43" t="s">
        <v>156</v>
      </c>
      <c r="E56" s="18"/>
      <c r="F56" s="32"/>
      <c r="G56" s="33"/>
      <c r="H56" s="34"/>
      <c r="I56" s="21"/>
      <c r="J56" s="35"/>
      <c r="K56" s="34"/>
      <c r="L56" s="34"/>
      <c r="M56" s="34"/>
      <c r="N56" s="34"/>
      <c r="O56" s="34"/>
      <c r="P56" s="34"/>
      <c r="Q56" s="34"/>
      <c r="R56" s="34"/>
      <c r="S56" s="37"/>
      <c r="T56" s="14"/>
    </row>
    <row r="57" spans="1:20" ht="13.5" customHeight="1" x14ac:dyDescent="0.3">
      <c r="A57" s="13" t="s">
        <v>71</v>
      </c>
      <c r="B57" s="14">
        <v>52</v>
      </c>
      <c r="C57" s="13" t="s">
        <v>175</v>
      </c>
      <c r="D57" s="43" t="s">
        <v>152</v>
      </c>
      <c r="E57" s="18"/>
      <c r="F57" s="32"/>
      <c r="G57" s="33"/>
      <c r="H57" s="34"/>
      <c r="I57" s="21"/>
      <c r="J57" s="35"/>
      <c r="K57" s="34"/>
      <c r="L57" s="34"/>
      <c r="M57" s="34"/>
      <c r="N57" s="34"/>
      <c r="O57" s="34"/>
      <c r="P57" s="34"/>
      <c r="Q57" s="34"/>
      <c r="R57" s="34"/>
      <c r="S57" s="37"/>
      <c r="T57" s="14"/>
    </row>
    <row r="58" spans="1:20" ht="13.5" customHeight="1" x14ac:dyDescent="0.3">
      <c r="A58" s="13" t="s">
        <v>72</v>
      </c>
      <c r="B58" s="14">
        <v>53</v>
      </c>
      <c r="C58" s="13" t="s">
        <v>186</v>
      </c>
      <c r="D58" s="43" t="s">
        <v>150</v>
      </c>
      <c r="E58" s="18"/>
      <c r="F58" s="32"/>
      <c r="G58" s="33"/>
      <c r="H58" s="34"/>
      <c r="I58" s="21"/>
      <c r="J58" s="35"/>
      <c r="K58" s="34"/>
      <c r="L58" s="34"/>
      <c r="M58" s="34"/>
      <c r="N58" s="34"/>
      <c r="O58" s="34"/>
      <c r="P58" s="34"/>
      <c r="Q58" s="34"/>
      <c r="R58" s="34"/>
      <c r="S58" s="37"/>
      <c r="T58" s="14"/>
    </row>
    <row r="59" spans="1:20" ht="13.5" customHeight="1" x14ac:dyDescent="0.3">
      <c r="A59" s="13" t="s">
        <v>73</v>
      </c>
      <c r="B59" s="14">
        <v>54</v>
      </c>
      <c r="C59" s="13" t="s">
        <v>173</v>
      </c>
      <c r="D59" s="43" t="s">
        <v>148</v>
      </c>
      <c r="E59" s="18"/>
      <c r="F59" s="32"/>
      <c r="G59" s="33"/>
      <c r="H59" s="34"/>
      <c r="I59" s="21"/>
      <c r="J59" s="35"/>
      <c r="K59" s="34"/>
      <c r="L59" s="34"/>
      <c r="M59" s="34"/>
      <c r="N59" s="34"/>
      <c r="O59" s="34"/>
      <c r="P59" s="34"/>
      <c r="Q59" s="34"/>
      <c r="R59" s="34"/>
      <c r="S59" s="37"/>
      <c r="T59" s="14"/>
    </row>
    <row r="60" spans="1:20" ht="13.5" customHeight="1" x14ac:dyDescent="0.3">
      <c r="A60" s="13" t="s">
        <v>74</v>
      </c>
      <c r="B60" s="14">
        <v>55</v>
      </c>
      <c r="C60" s="13" t="s">
        <v>187</v>
      </c>
      <c r="D60" s="43" t="s">
        <v>146</v>
      </c>
      <c r="E60" s="18"/>
      <c r="F60" s="32"/>
      <c r="G60" s="33"/>
      <c r="H60" s="34"/>
      <c r="I60" s="21"/>
      <c r="J60" s="35"/>
      <c r="K60" s="34"/>
      <c r="L60" s="34"/>
      <c r="M60" s="34"/>
      <c r="N60" s="34"/>
      <c r="O60" s="34"/>
      <c r="P60" s="34"/>
      <c r="Q60" s="34"/>
      <c r="R60" s="34"/>
      <c r="S60" s="37"/>
      <c r="T60" s="14"/>
    </row>
    <row r="61" spans="1:20" ht="13.5" customHeight="1" x14ac:dyDescent="0.3">
      <c r="A61" s="13" t="s">
        <v>75</v>
      </c>
      <c r="B61" s="14">
        <v>56</v>
      </c>
      <c r="C61" s="13" t="s">
        <v>171</v>
      </c>
      <c r="D61" s="43" t="s">
        <v>144</v>
      </c>
      <c r="E61" s="18"/>
      <c r="F61" s="32"/>
      <c r="G61" s="33"/>
      <c r="H61" s="34"/>
      <c r="I61" s="21"/>
      <c r="J61" s="35"/>
      <c r="K61" s="34"/>
      <c r="L61" s="34"/>
      <c r="M61" s="34"/>
      <c r="N61" s="34"/>
      <c r="O61" s="34"/>
      <c r="P61" s="34"/>
      <c r="Q61" s="34"/>
      <c r="R61" s="34"/>
      <c r="S61" s="37"/>
      <c r="T61" s="14"/>
    </row>
    <row r="62" spans="1:20" ht="13.5" customHeight="1" x14ac:dyDescent="0.3">
      <c r="A62" s="13" t="s">
        <v>76</v>
      </c>
      <c r="B62" s="14">
        <v>57</v>
      </c>
      <c r="C62" s="13" t="s">
        <v>188</v>
      </c>
      <c r="D62" s="43" t="s">
        <v>142</v>
      </c>
      <c r="E62" s="18"/>
      <c r="F62" s="32"/>
      <c r="G62" s="33"/>
      <c r="H62" s="34"/>
      <c r="I62" s="21"/>
      <c r="J62" s="35"/>
      <c r="K62" s="34"/>
      <c r="L62" s="34"/>
      <c r="M62" s="34"/>
      <c r="N62" s="34"/>
      <c r="O62" s="34"/>
      <c r="P62" s="34"/>
      <c r="Q62" s="34"/>
      <c r="R62" s="34"/>
      <c r="S62" s="37"/>
      <c r="T62" s="14"/>
    </row>
    <row r="63" spans="1:20" ht="13.5" customHeight="1" x14ac:dyDescent="0.3">
      <c r="A63" s="13" t="s">
        <v>77</v>
      </c>
      <c r="B63" s="14">
        <v>58</v>
      </c>
      <c r="C63" s="13" t="s">
        <v>169</v>
      </c>
      <c r="D63" s="43" t="s">
        <v>140</v>
      </c>
      <c r="E63" s="18"/>
      <c r="F63" s="32"/>
      <c r="G63" s="33"/>
      <c r="H63" s="34"/>
      <c r="I63" s="21"/>
      <c r="J63" s="35"/>
      <c r="K63" s="34"/>
      <c r="L63" s="34"/>
      <c r="M63" s="34"/>
      <c r="N63" s="34"/>
      <c r="O63" s="34"/>
      <c r="P63" s="34"/>
      <c r="Q63" s="34"/>
      <c r="R63" s="34"/>
      <c r="S63" s="37"/>
      <c r="T63" s="14"/>
    </row>
    <row r="64" spans="1:20" ht="13.5" customHeight="1" x14ac:dyDescent="0.3">
      <c r="A64" s="13" t="s">
        <v>78</v>
      </c>
      <c r="B64" s="14">
        <v>59</v>
      </c>
      <c r="C64" s="13" t="s">
        <v>189</v>
      </c>
      <c r="D64" s="43" t="s">
        <v>138</v>
      </c>
      <c r="E64" s="18"/>
      <c r="F64" s="32"/>
      <c r="G64" s="33"/>
      <c r="H64" s="34"/>
      <c r="I64" s="21"/>
      <c r="J64" s="35"/>
      <c r="K64" s="34"/>
      <c r="L64" s="34"/>
      <c r="M64" s="34"/>
      <c r="N64" s="34"/>
      <c r="O64" s="34"/>
      <c r="P64" s="34"/>
      <c r="Q64" s="34"/>
      <c r="R64" s="34"/>
      <c r="S64" s="37"/>
      <c r="T64" s="14"/>
    </row>
    <row r="65" spans="1:20" ht="13.5" customHeight="1" x14ac:dyDescent="0.3">
      <c r="A65" s="13" t="s">
        <v>79</v>
      </c>
      <c r="B65" s="14">
        <v>60</v>
      </c>
      <c r="C65" s="13" t="s">
        <v>167</v>
      </c>
      <c r="D65" s="43" t="s">
        <v>136</v>
      </c>
      <c r="E65" s="18"/>
      <c r="F65" s="32"/>
      <c r="G65" s="33"/>
      <c r="H65" s="34"/>
      <c r="I65" s="21"/>
      <c r="J65" s="35"/>
      <c r="K65" s="34"/>
      <c r="L65" s="34"/>
      <c r="M65" s="34"/>
      <c r="N65" s="34"/>
      <c r="O65" s="34"/>
      <c r="P65" s="34"/>
      <c r="Q65" s="34"/>
      <c r="R65" s="34"/>
      <c r="S65" s="37"/>
      <c r="T65" s="14"/>
    </row>
    <row r="66" spans="1:20" ht="13.5" customHeight="1" x14ac:dyDescent="0.3">
      <c r="A66" s="13" t="s">
        <v>80</v>
      </c>
      <c r="B66" s="14">
        <v>61</v>
      </c>
      <c r="C66" s="13" t="s">
        <v>190</v>
      </c>
      <c r="D66" s="43" t="s">
        <v>136</v>
      </c>
      <c r="E66" s="18"/>
      <c r="F66" s="32"/>
      <c r="G66" s="33"/>
      <c r="H66" s="34"/>
      <c r="I66" s="21"/>
      <c r="J66" s="35"/>
      <c r="K66" s="34"/>
      <c r="L66" s="34"/>
      <c r="M66" s="34"/>
      <c r="N66" s="34"/>
      <c r="O66" s="34"/>
      <c r="P66" s="34"/>
      <c r="Q66" s="34"/>
      <c r="R66" s="34"/>
      <c r="S66" s="37"/>
      <c r="T66" s="14"/>
    </row>
    <row r="67" spans="1:20" ht="13.5" customHeight="1" x14ac:dyDescent="0.3">
      <c r="A67" s="13" t="s">
        <v>81</v>
      </c>
      <c r="B67" s="14">
        <v>62</v>
      </c>
      <c r="C67" s="13" t="s">
        <v>165</v>
      </c>
      <c r="D67" s="43" t="s">
        <v>134</v>
      </c>
      <c r="E67" s="18"/>
      <c r="F67" s="32"/>
      <c r="G67" s="33"/>
      <c r="H67" s="34"/>
      <c r="I67" s="21"/>
      <c r="J67" s="35"/>
      <c r="K67" s="34"/>
      <c r="L67" s="34"/>
      <c r="M67" s="34"/>
      <c r="N67" s="34"/>
      <c r="O67" s="34"/>
      <c r="P67" s="34"/>
      <c r="Q67" s="34"/>
      <c r="R67" s="34"/>
      <c r="S67" s="37"/>
      <c r="T67" s="14"/>
    </row>
    <row r="68" spans="1:20" ht="13.5" customHeight="1" x14ac:dyDescent="0.3">
      <c r="A68" s="13" t="s">
        <v>82</v>
      </c>
      <c r="B68" s="14">
        <v>63</v>
      </c>
      <c r="C68" s="13" t="s">
        <v>191</v>
      </c>
      <c r="D68" s="43" t="s">
        <v>134</v>
      </c>
      <c r="E68" s="18"/>
      <c r="F68" s="32"/>
      <c r="G68" s="33"/>
      <c r="H68" s="34"/>
      <c r="I68" s="21"/>
      <c r="J68" s="35"/>
      <c r="K68" s="34"/>
      <c r="L68" s="34"/>
      <c r="M68" s="34"/>
      <c r="N68" s="34"/>
      <c r="O68" s="34"/>
      <c r="P68" s="34"/>
      <c r="Q68" s="34"/>
      <c r="R68" s="34"/>
      <c r="S68" s="37"/>
      <c r="T68" s="14"/>
    </row>
    <row r="69" spans="1:20" ht="13.5" customHeight="1" x14ac:dyDescent="0.3">
      <c r="A69" s="13" t="s">
        <v>83</v>
      </c>
      <c r="B69" s="14">
        <v>64</v>
      </c>
      <c r="C69" s="13" t="s">
        <v>163</v>
      </c>
      <c r="D69" s="43" t="s">
        <v>132</v>
      </c>
      <c r="E69" s="18"/>
      <c r="F69" s="32"/>
      <c r="G69" s="33"/>
      <c r="H69" s="34"/>
      <c r="I69" s="21"/>
      <c r="J69" s="35"/>
      <c r="K69" s="34"/>
      <c r="L69" s="34"/>
      <c r="M69" s="34"/>
      <c r="N69" s="34"/>
      <c r="O69" s="34"/>
      <c r="P69" s="34"/>
      <c r="Q69" s="34"/>
      <c r="R69" s="34"/>
      <c r="S69" s="37"/>
      <c r="T69" s="14"/>
    </row>
    <row r="70" spans="1:20" ht="13.5" customHeight="1" x14ac:dyDescent="0.3">
      <c r="A70" s="13" t="s">
        <v>84</v>
      </c>
      <c r="B70" s="14">
        <v>65</v>
      </c>
      <c r="C70" s="13" t="s">
        <v>192</v>
      </c>
      <c r="D70" s="43" t="s">
        <v>132</v>
      </c>
      <c r="E70" s="18"/>
      <c r="F70" s="32"/>
      <c r="G70" s="33"/>
      <c r="H70" s="34"/>
      <c r="I70" s="21"/>
      <c r="J70" s="35"/>
      <c r="K70" s="34"/>
      <c r="L70" s="34"/>
      <c r="M70" s="34"/>
      <c r="N70" s="34"/>
      <c r="O70" s="34"/>
      <c r="P70" s="34"/>
      <c r="Q70" s="34"/>
      <c r="R70" s="34"/>
      <c r="S70" s="37"/>
      <c r="T70" s="14"/>
    </row>
    <row r="71" spans="1:20" ht="13.5" customHeight="1" x14ac:dyDescent="0.3">
      <c r="A71" s="13" t="s">
        <v>85</v>
      </c>
      <c r="B71" s="14">
        <v>66</v>
      </c>
      <c r="C71" s="13" t="s">
        <v>161</v>
      </c>
      <c r="D71" s="43" t="s">
        <v>132</v>
      </c>
      <c r="E71" s="18"/>
      <c r="F71" s="32"/>
      <c r="G71" s="33"/>
      <c r="H71" s="34"/>
      <c r="I71" s="21"/>
      <c r="J71" s="35"/>
      <c r="K71" s="34"/>
      <c r="L71" s="34"/>
      <c r="M71" s="34"/>
      <c r="N71" s="34"/>
      <c r="O71" s="34"/>
      <c r="P71" s="34"/>
      <c r="Q71" s="34"/>
      <c r="R71" s="34"/>
      <c r="S71" s="37"/>
      <c r="T71" s="14"/>
    </row>
    <row r="72" spans="1:20" ht="13.5" customHeight="1" x14ac:dyDescent="0.3">
      <c r="A72" s="13" t="s">
        <v>86</v>
      </c>
      <c r="B72" s="14">
        <v>67</v>
      </c>
      <c r="C72" s="13" t="s">
        <v>193</v>
      </c>
      <c r="D72" s="43" t="s">
        <v>132</v>
      </c>
      <c r="E72" s="18"/>
      <c r="F72" s="32"/>
      <c r="G72" s="33"/>
      <c r="H72" s="34"/>
      <c r="I72" s="21"/>
      <c r="J72" s="35"/>
      <c r="K72" s="34"/>
      <c r="L72" s="34"/>
      <c r="M72" s="34"/>
      <c r="N72" s="34"/>
      <c r="O72" s="34"/>
      <c r="P72" s="34"/>
      <c r="Q72" s="34"/>
      <c r="R72" s="34"/>
      <c r="S72" s="37"/>
      <c r="T72" s="14"/>
    </row>
    <row r="73" spans="1:20" ht="13.5" customHeight="1" x14ac:dyDescent="0.3">
      <c r="A73" s="13" t="s">
        <v>87</v>
      </c>
      <c r="B73" s="14">
        <v>68</v>
      </c>
      <c r="C73" s="13" t="s">
        <v>159</v>
      </c>
      <c r="D73" s="43" t="s">
        <v>132</v>
      </c>
      <c r="E73" s="18"/>
      <c r="F73" s="32"/>
      <c r="G73" s="33"/>
      <c r="H73" s="34"/>
      <c r="I73" s="21"/>
      <c r="J73" s="35"/>
      <c r="K73" s="34"/>
      <c r="L73" s="34"/>
      <c r="M73" s="34"/>
      <c r="N73" s="34"/>
      <c r="O73" s="34"/>
      <c r="P73" s="34"/>
      <c r="Q73" s="34"/>
      <c r="R73" s="34"/>
      <c r="S73" s="37"/>
      <c r="T73" s="14"/>
    </row>
    <row r="74" spans="1:20" ht="13.5" customHeight="1" x14ac:dyDescent="0.3">
      <c r="A74" s="13" t="s">
        <v>88</v>
      </c>
      <c r="B74" s="14">
        <v>69</v>
      </c>
      <c r="C74" s="13" t="s">
        <v>194</v>
      </c>
      <c r="D74" s="43" t="s">
        <v>132</v>
      </c>
      <c r="E74" s="18"/>
      <c r="F74" s="32"/>
      <c r="G74" s="33"/>
      <c r="H74" s="34"/>
      <c r="I74" s="21"/>
      <c r="J74" s="35"/>
      <c r="K74" s="34"/>
      <c r="L74" s="34"/>
      <c r="M74" s="34"/>
      <c r="N74" s="34"/>
      <c r="O74" s="34"/>
      <c r="P74" s="34"/>
      <c r="Q74" s="34"/>
      <c r="R74" s="34"/>
      <c r="S74" s="37"/>
      <c r="T74" s="14"/>
    </row>
    <row r="75" spans="1:20" ht="13.5" customHeight="1" x14ac:dyDescent="0.3">
      <c r="A75" s="13" t="s">
        <v>89</v>
      </c>
      <c r="B75" s="14">
        <v>70</v>
      </c>
      <c r="C75" s="13" t="s">
        <v>157</v>
      </c>
      <c r="D75" s="43" t="s">
        <v>132</v>
      </c>
      <c r="E75" s="18"/>
      <c r="F75" s="32"/>
      <c r="G75" s="33"/>
      <c r="H75" s="34"/>
      <c r="I75" s="21"/>
      <c r="J75" s="35"/>
      <c r="K75" s="34"/>
      <c r="L75" s="34"/>
      <c r="M75" s="34"/>
      <c r="N75" s="34"/>
      <c r="O75" s="34"/>
      <c r="P75" s="34"/>
      <c r="Q75" s="34"/>
      <c r="R75" s="34"/>
      <c r="S75" s="37"/>
      <c r="T75" s="14"/>
    </row>
    <row r="76" spans="1:20" ht="13.5" customHeight="1" x14ac:dyDescent="0.3">
      <c r="A76" s="13" t="s">
        <v>90</v>
      </c>
      <c r="B76" s="14">
        <v>71</v>
      </c>
      <c r="C76" s="13" t="s">
        <v>195</v>
      </c>
      <c r="D76" s="43" t="s">
        <v>132</v>
      </c>
      <c r="E76" s="18"/>
      <c r="F76" s="32"/>
      <c r="G76" s="33"/>
      <c r="H76" s="34"/>
      <c r="I76" s="21"/>
      <c r="J76" s="35"/>
      <c r="K76" s="34"/>
      <c r="L76" s="34"/>
      <c r="M76" s="34"/>
      <c r="N76" s="34"/>
      <c r="O76" s="34"/>
      <c r="P76" s="34"/>
      <c r="Q76" s="34"/>
      <c r="R76" s="34"/>
      <c r="S76" s="37"/>
      <c r="T76" s="14"/>
    </row>
    <row r="77" spans="1:20" ht="13.5" customHeight="1" x14ac:dyDescent="0.3">
      <c r="A77" s="13" t="s">
        <v>91</v>
      </c>
      <c r="B77" s="14">
        <v>72</v>
      </c>
      <c r="C77" s="13" t="s">
        <v>196</v>
      </c>
      <c r="D77" s="43" t="s">
        <v>132</v>
      </c>
      <c r="E77" s="18"/>
      <c r="F77" s="32"/>
      <c r="G77" s="33"/>
      <c r="H77" s="34"/>
      <c r="I77" s="21"/>
      <c r="J77" s="35"/>
      <c r="K77" s="34"/>
      <c r="L77" s="34"/>
      <c r="M77" s="34"/>
      <c r="N77" s="34"/>
      <c r="O77" s="34"/>
      <c r="P77" s="34"/>
      <c r="Q77" s="34"/>
      <c r="R77" s="34"/>
      <c r="S77" s="37"/>
      <c r="T77" s="14"/>
    </row>
    <row r="78" spans="1:20" ht="13.5" customHeight="1" x14ac:dyDescent="0.3">
      <c r="A78" s="13" t="s">
        <v>92</v>
      </c>
      <c r="B78" s="14">
        <v>73</v>
      </c>
      <c r="C78" s="13" t="s">
        <v>197</v>
      </c>
      <c r="D78" s="43" t="s">
        <v>132</v>
      </c>
      <c r="E78" s="18"/>
      <c r="F78" s="32"/>
      <c r="G78" s="33"/>
      <c r="H78" s="34"/>
      <c r="I78" s="21"/>
      <c r="J78" s="35"/>
      <c r="K78" s="34"/>
      <c r="L78" s="34"/>
      <c r="M78" s="34"/>
      <c r="N78" s="34"/>
      <c r="O78" s="34"/>
      <c r="P78" s="34"/>
      <c r="Q78" s="34"/>
      <c r="R78" s="34"/>
      <c r="S78" s="37"/>
      <c r="T78" s="14"/>
    </row>
    <row r="79" spans="1:20" ht="13.5" customHeight="1" x14ac:dyDescent="0.3">
      <c r="A79" s="13" t="s">
        <v>93</v>
      </c>
      <c r="B79" s="14">
        <v>74</v>
      </c>
      <c r="C79" s="13" t="s">
        <v>198</v>
      </c>
      <c r="D79" s="44" t="s">
        <v>132</v>
      </c>
      <c r="E79" s="18"/>
      <c r="F79" s="32"/>
      <c r="G79" s="33"/>
      <c r="H79" s="34"/>
      <c r="I79" s="21"/>
      <c r="J79" s="35"/>
      <c r="K79" s="34"/>
      <c r="L79" s="34"/>
      <c r="M79" s="34"/>
      <c r="N79" s="34"/>
      <c r="O79" s="34"/>
      <c r="P79" s="34"/>
      <c r="Q79" s="34"/>
      <c r="R79" s="34"/>
      <c r="S79" s="37"/>
      <c r="T79" s="14"/>
    </row>
    <row r="80" spans="1:20" ht="15" customHeight="1" x14ac:dyDescent="0.3">
      <c r="D80" s="31"/>
      <c r="F80" s="35"/>
      <c r="G80" s="35"/>
      <c r="H80" s="35"/>
    </row>
  </sheetData>
  <dataValidations count="4">
    <dataValidation type="list" allowBlank="1" showInputMessage="1" showErrorMessage="1" sqref="B6:B12 B15:B79" xr:uid="{00000000-0002-0000-0000-000000000000}">
      <formula1>"NRIC,FIN,Work Permit No,Malaysian IC,Passport No"</formula1>
    </dataValidation>
    <dataValidation type="list" allowBlank="1" showInputMessage="1" showErrorMessage="1" sqref="H6:I79" xr:uid="{00000000-0002-0000-0000-000001000000}">
      <formula1>"Local Address,Foreign Address"</formula1>
    </dataValidation>
    <dataValidation type="date" operator="greaterThanOrEqual" allowBlank="1" showInputMessage="1" showErrorMessage="1" sqref="J6:J79" xr:uid="{00000000-0002-0000-0000-000002000000}">
      <formula1>36161</formula1>
    </dataValidation>
    <dataValidation type="list" allowBlank="1" showInputMessage="1" showErrorMessage="1" sqref="M6:M79" xr:uid="{00000000-0002-0000-0000-000003000000}">
      <formula1>"ALLIED IRISH BANKS PLC,AMERICAN EXPRESS BANK LTD,ANEXT BANK,ANZ,ARAB BANK LTD,ARAB BANKING CORPORATION BSC,BAN HIN LEE BANK BERHAD,BANCA COMMERCIAL ITALIANA,BANCA NAZIONAL DEL LAVORO,BANCO DO BRASIL SA,BANGKOK BANK PUBLIC CO. LTD,BANK OF AMERICA NT &amp; SA"</formula1>
    </dataValidation>
  </dataValidations>
  <pageMargins left="0.7" right="0.7" top="0.75" bottom="0.75" header="0.3" footer="0.3"/>
  <pageSetup orientation="portrait"/>
  <headerFooter>
    <oddFooter>&amp;C&amp;"Helvetica Neue,Regular"&amp;12 &amp;K000000&amp;P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Koryori Hayashi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Naren S</dc:creator>
  <cp:lastModifiedBy>Muskan DHAMURIA</cp:lastModifiedBy>
  <dcterms:created xsi:type="dcterms:W3CDTF">2026-03-14T04:37:12Z</dcterms:created>
  <dcterms:modified xsi:type="dcterms:W3CDTF">2026-03-16T01:15:05Z</dcterms:modified>
</cp:coreProperties>
</file>